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01429_yamamoto\Desktop\山本\仕入売上\通関業者請求書\"/>
    </mc:Choice>
  </mc:AlternateContent>
  <xr:revisionPtr revIDLastSave="0" documentId="13_ncr:1_{57563889-9550-48B5-9724-B663ECB446F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チェックリスト" sheetId="1" r:id="rId1"/>
    <sheet name="2602" sheetId="2" r:id="rId2"/>
    <sheet name="2603" sheetId="3" r:id="rId3"/>
    <sheet name="2604" sheetId="4" r:id="rId4"/>
  </sheets>
  <definedNames>
    <definedName name="_xlnm.Print_Area" localSheetId="1">'2602'!$A$1:$J$40</definedName>
    <definedName name="_xlnm.Print_Area" localSheetId="2">'2603'!$A$1:$J$40</definedName>
    <definedName name="_xlnm.Print_Area" localSheetId="3">'2604'!$A$1:$J$42</definedName>
    <definedName name="_xlnm.Print_Area" localSheetId="0">チェックリスト!$A$1:$J$39</definedName>
  </definedNames>
  <calcPr calcId="191029"/>
</workbook>
</file>

<file path=xl/calcChain.xml><?xml version="1.0" encoding="utf-8"?>
<calcChain xmlns="http://schemas.openxmlformats.org/spreadsheetml/2006/main">
  <c r="G37" i="4" l="1"/>
  <c r="G20" i="4" l="1"/>
  <c r="G19" i="4"/>
  <c r="F18" i="4"/>
  <c r="G18" i="4" s="1"/>
  <c r="G3" i="4"/>
  <c r="F20" i="3"/>
  <c r="G20" i="3" s="1"/>
  <c r="G21" i="4" l="1"/>
  <c r="F18" i="3"/>
  <c r="G18" i="3" s="1"/>
  <c r="G19" i="3"/>
  <c r="G35" i="3" l="1"/>
  <c r="G21" i="3"/>
  <c r="G3" i="3"/>
  <c r="G35" i="2" l="1"/>
  <c r="G19" i="2"/>
  <c r="G18" i="2"/>
  <c r="G21" i="2" s="1"/>
  <c r="F18" i="2"/>
  <c r="G3" i="2"/>
  <c r="G21" i="1"/>
  <c r="G34" i="1"/>
  <c r="G3" i="1"/>
</calcChain>
</file>

<file path=xl/sharedStrings.xml><?xml version="1.0" encoding="utf-8"?>
<sst xmlns="http://schemas.openxmlformats.org/spreadsheetml/2006/main" count="323" uniqueCount="87">
  <si>
    <t>一括納付明細書チェックリスト</t>
  </si>
  <si>
    <t>■ メール受信情報</t>
  </si>
  <si>
    <t>送付元</t>
  </si>
  <si>
    <t>受信日</t>
  </si>
  <si>
    <t>件名</t>
  </si>
  <si>
    <t>1</t>
  </si>
  <si>
    <t>トレーディア株式会社</t>
  </si>
  <si>
    <t>2</t>
  </si>
  <si>
    <t>郵船ロジスティクス株式会社</t>
  </si>
  <si>
    <t>3</t>
  </si>
  <si>
    <t>フジロジックス株式会社</t>
  </si>
  <si>
    <t>※添付PDFファイル名</t>
  </si>
  <si>
    <t>添付PDFファイル名</t>
  </si>
  <si>
    <t>会社名</t>
  </si>
  <si>
    <t>印刷枚数</t>
  </si>
  <si>
    <t>備考</t>
  </si>
  <si>
    <t>4</t>
  </si>
  <si>
    <t>株式会社上組</t>
  </si>
  <si>
    <t>担当者</t>
    <rPh sb="0" eb="3">
      <t>タントウシャ</t>
    </rPh>
    <phoneticPr fontId="6"/>
  </si>
  <si>
    <t>//一括納付明細//Re: //1月請求書一覧+HBL// 海上輸入 YLK扱い</t>
    <phoneticPr fontId="6"/>
  </si>
  <si>
    <t>チェック</t>
    <phoneticPr fontId="6"/>
  </si>
  <si>
    <t>□</t>
    <phoneticPr fontId="6"/>
  </si>
  <si>
    <t>Re: 1月度 延納の納付書 気高電機様分</t>
    <phoneticPr fontId="6"/>
  </si>
  <si>
    <t>5270001002006000003348490703F1A,,,</t>
    <phoneticPr fontId="6"/>
  </si>
  <si>
    <t>延納マルチ納付書 2026.1月分</t>
    <phoneticPr fontId="6"/>
  </si>
  <si>
    <t>■ 各会社PDF枚数確認</t>
    <phoneticPr fontId="6"/>
  </si>
  <si>
    <t>受入科目名</t>
    <rPh sb="0" eb="2">
      <t>ウケイレ</t>
    </rPh>
    <rPh sb="2" eb="5">
      <t>カモクメイ</t>
    </rPh>
    <phoneticPr fontId="6"/>
  </si>
  <si>
    <t>消費・地方消費税</t>
    <rPh sb="0" eb="2">
      <t>ショウヒ</t>
    </rPh>
    <rPh sb="3" eb="5">
      <t>チホウ</t>
    </rPh>
    <rPh sb="5" eb="8">
      <t>ショウヒゼイ</t>
    </rPh>
    <phoneticPr fontId="6"/>
  </si>
  <si>
    <t>税額合計</t>
    <rPh sb="0" eb="2">
      <t>ゼイガク</t>
    </rPh>
    <rPh sb="2" eb="4">
      <t>ゴウケイ</t>
    </rPh>
    <phoneticPr fontId="6"/>
  </si>
  <si>
    <t>関税</t>
    <rPh sb="0" eb="2">
      <t>カンゼイ</t>
    </rPh>
    <phoneticPr fontId="6"/>
  </si>
  <si>
    <t>納付番号</t>
    <rPh sb="0" eb="2">
      <t>ノウフ</t>
    </rPh>
    <rPh sb="2" eb="4">
      <t>バンゴウ</t>
    </rPh>
    <phoneticPr fontId="6"/>
  </si>
  <si>
    <t>03348988086</t>
    <phoneticPr fontId="6"/>
  </si>
  <si>
    <t>03348988090</t>
    <phoneticPr fontId="6"/>
  </si>
  <si>
    <t>■ 各会社詳細情報</t>
    <rPh sb="5" eb="7">
      <t>ショウサイ</t>
    </rPh>
    <rPh sb="7" eb="9">
      <t>ジョウホウ</t>
    </rPh>
    <phoneticPr fontId="6"/>
  </si>
  <si>
    <t>03348751523</t>
    <phoneticPr fontId="6"/>
  </si>
  <si>
    <t>03348627354</t>
    <phoneticPr fontId="6"/>
  </si>
  <si>
    <t>03348490703</t>
    <phoneticPr fontId="6"/>
  </si>
  <si>
    <t>表紙枚数</t>
    <rPh sb="0" eb="2">
      <t>ヒョウシ</t>
    </rPh>
    <rPh sb="2" eb="4">
      <t>マイスウ</t>
    </rPh>
    <phoneticPr fontId="6"/>
  </si>
  <si>
    <t>輸入許可通知書枚数</t>
    <rPh sb="0" eb="2">
      <t>ユニュウ</t>
    </rPh>
    <rPh sb="2" eb="4">
      <t>キョカ</t>
    </rPh>
    <rPh sb="4" eb="7">
      <t>ツウチショ</t>
    </rPh>
    <rPh sb="7" eb="9">
      <t>マイスウ</t>
    </rPh>
    <phoneticPr fontId="6"/>
  </si>
  <si>
    <t>合計</t>
    <rPh sb="0" eb="2">
      <t>ゴウケイ</t>
    </rPh>
    <phoneticPr fontId="6"/>
  </si>
  <si>
    <t>一括納付明細書添付(kintone)</t>
    <phoneticPr fontId="6"/>
  </si>
  <si>
    <t>一括納付明細書2026.01</t>
    <phoneticPr fontId="6"/>
  </si>
  <si>
    <t>02384116711</t>
    <phoneticPr fontId="6"/>
  </si>
  <si>
    <t>03348542875</t>
  </si>
  <si>
    <t>03350130910</t>
  </si>
  <si>
    <t>03350130921</t>
    <phoneticPr fontId="6"/>
  </si>
  <si>
    <t>03348474010</t>
    <phoneticPr fontId="6"/>
  </si>
  <si>
    <t>チェック者</t>
    <rPh sb="4" eb="5">
      <t>シャ</t>
    </rPh>
    <phoneticPr fontId="6"/>
  </si>
  <si>
    <t>【確認フロー】担当者 → チェック者→ 経理担当者へ連絡　</t>
    <rPh sb="17" eb="18">
      <t>シャ</t>
    </rPh>
    <phoneticPr fontId="6"/>
  </si>
  <si>
    <t>2月度 延納の納付書 気高電機様分</t>
    <phoneticPr fontId="6"/>
  </si>
  <si>
    <t>5270001002006000003351339644F4I…</t>
    <phoneticPr fontId="6"/>
  </si>
  <si>
    <t>一括納付明細書チェックリスト</t>
    <phoneticPr fontId="6"/>
  </si>
  <si>
    <t>03351339644</t>
    <phoneticPr fontId="6"/>
  </si>
  <si>
    <t>03351472681</t>
    <phoneticPr fontId="6"/>
  </si>
  <si>
    <t>一括納付明細書</t>
    <phoneticPr fontId="6"/>
  </si>
  <si>
    <t>一括納付明細書2026.02.pdf</t>
    <phoneticPr fontId="6"/>
  </si>
  <si>
    <t>02399215766</t>
    <phoneticPr fontId="6"/>
  </si>
  <si>
    <t>02395997413</t>
    <phoneticPr fontId="6"/>
  </si>
  <si>
    <t>延納マルチ納付書_2026_2月分</t>
    <phoneticPr fontId="6"/>
  </si>
  <si>
    <t>//一括納付明細// Re: //2月請求書一覧+HBL// 海上輸入 YLK扱い</t>
    <phoneticPr fontId="6"/>
  </si>
  <si>
    <t>03351722452</t>
    <phoneticPr fontId="6"/>
  </si>
  <si>
    <t>03351628486</t>
    <phoneticPr fontId="6"/>
  </si>
  <si>
    <t>03351628490</t>
    <phoneticPr fontId="6"/>
  </si>
  <si>
    <t>02404205893</t>
    <phoneticPr fontId="6"/>
  </si>
  <si>
    <t>03351961395</t>
    <phoneticPr fontId="6"/>
  </si>
  <si>
    <t>03351977241</t>
    <phoneticPr fontId="6"/>
  </si>
  <si>
    <t>一括納付明細書2026.03.pdf</t>
    <phoneticPr fontId="6"/>
  </si>
  <si>
    <t>02413810711</t>
  </si>
  <si>
    <t>02408305336</t>
  </si>
  <si>
    <t>03356125625</t>
  </si>
  <si>
    <t>03355692745</t>
  </si>
  <si>
    <t>03353922412</t>
  </si>
  <si>
    <t>関税</t>
  </si>
  <si>
    <t>□</t>
  </si>
  <si>
    <t>消費・地方消費税</t>
  </si>
  <si>
    <t>03353922423</t>
  </si>
  <si>
    <t>03355722845</t>
  </si>
  <si>
    <t>3月度 延納の納付書 気高電機様分</t>
    <phoneticPr fontId="6"/>
  </si>
  <si>
    <t>輸入許可通知書（Ｂ）_11867737000_20260409155434,5270001002006000003353917372F4I</t>
    <phoneticPr fontId="6"/>
  </si>
  <si>
    <t>//納付明細//Re: //3月請求書一覧+HBL// 海上輸入 YLK扱い</t>
    <phoneticPr fontId="6"/>
  </si>
  <si>
    <t>延納マルチ納付書 2026.3月分.pdf</t>
    <phoneticPr fontId="6"/>
  </si>
  <si>
    <t>03353917372</t>
    <phoneticPr fontId="6"/>
  </si>
  <si>
    <t>03353945206</t>
    <phoneticPr fontId="6"/>
  </si>
  <si>
    <t>03354282794</t>
    <phoneticPr fontId="6"/>
  </si>
  <si>
    <t>トレーディア株式会社</t>
    <rPh sb="6" eb="8">
      <t>カブシキ</t>
    </rPh>
    <rPh sb="8" eb="10">
      <t>カイシャ</t>
    </rPh>
    <phoneticPr fontId="6"/>
  </si>
  <si>
    <t>03355140073</t>
    <phoneticPr fontId="6"/>
  </si>
  <si>
    <t>03355140084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</si>
</sst>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&quot;¥&quot;#,##0_);[Red]\(&quot;¥&quot;#,##0\)"/>
    <numFmt numFmtId="178" formatCode="0_);[Red]\(0\)"/>
  </numFmts>
  <fonts count="11">
    <font>
      <sz val="11"/>
      <color theme="1"/>
      <name val="ＭＳ Ｐゴシック"/>
      <family val="2"/>
      <scheme val="minor"/>
    </font>
    <font>
      <b/>
      <sz val="10"/>
      <name val="Yu Gothic"/>
      <family val="3"/>
      <charset val="128"/>
    </font>
    <font>
      <b/>
      <sz val="9"/>
      <color rgb="FFFFFFFF"/>
      <name val="Yu Gothic"/>
      <family val="3"/>
      <charset val="128"/>
    </font>
    <font>
      <sz val="9"/>
      <name val="Yu Gothic"/>
      <family val="3"/>
      <charset val="128"/>
    </font>
    <font>
      <b/>
      <sz val="8.5"/>
      <name val="Yu Gothic"/>
      <family val="3"/>
      <charset val="128"/>
    </font>
    <font>
      <sz val="8"/>
      <color rgb="FF666666"/>
      <name val="Yu Gothic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Yu Gothic"/>
      <family val="3"/>
      <charset val="128"/>
    </font>
    <font>
      <b/>
      <sz val="9"/>
      <name val="Yu Gothic"/>
      <family val="3"/>
      <charset val="128"/>
    </font>
    <font>
      <b/>
      <sz val="18"/>
      <name val="Yu Gothic"/>
      <family val="3"/>
      <charset val="128"/>
    </font>
    <font>
      <sz val="18"/>
      <color theme="1"/>
      <name val="ＭＳ Ｐ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0" fillId="0" borderId="0" xfId="0" applyNumberFormat="1" applyAlignment="1">
      <alignment horizontal="right"/>
    </xf>
    <xf numFmtId="0" fontId="7" fillId="0" borderId="1" xfId="0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77" fontId="3" fillId="0" borderId="1" xfId="0" applyNumberFormat="1" applyFont="1" applyBorder="1" applyAlignment="1">
      <alignment horizontal="right" vertical="center" wrapText="1"/>
    </xf>
    <xf numFmtId="177" fontId="8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right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3" fillId="0" borderId="1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22" fontId="3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176" fontId="0" fillId="0" borderId="0" xfId="0" applyNumberFormat="1" applyAlignment="1">
      <alignment horizontal="right"/>
    </xf>
    <xf numFmtId="0" fontId="2" fillId="2" borderId="4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39"/>
  <sheetViews>
    <sheetView view="pageBreakPreview" topLeftCell="A13" zoomScaleNormal="100" zoomScaleSheetLayoutView="100" workbookViewId="0">
      <selection activeCell="F30" sqref="F30"/>
    </sheetView>
  </sheetViews>
  <sheetFormatPr defaultRowHeight="13.5"/>
  <cols>
    <col min="1" max="1" width="3.5" customWidth="1"/>
    <col min="2" max="2" width="14" customWidth="1"/>
    <col min="3" max="3" width="9.5" customWidth="1"/>
    <col min="4" max="4" width="7.625" customWidth="1"/>
    <col min="5" max="5" width="13.875" bestFit="1" customWidth="1"/>
    <col min="6" max="6" width="16.25" customWidth="1"/>
    <col min="7" max="7" width="11.875" customWidth="1"/>
    <col min="8" max="8" width="7.75" bestFit="1" customWidth="1"/>
    <col min="9" max="10" width="10.625" customWidth="1"/>
  </cols>
  <sheetData>
    <row r="2" spans="1:10" ht="27.95" customHeight="1">
      <c r="A2" s="60" t="s">
        <v>51</v>
      </c>
      <c r="B2" s="61"/>
      <c r="C2" s="61"/>
      <c r="D2" s="61"/>
      <c r="E2" s="61"/>
      <c r="F2" s="61"/>
      <c r="G2" s="61"/>
      <c r="H2" s="61"/>
      <c r="I2" s="61"/>
      <c r="J2" s="61"/>
    </row>
    <row r="3" spans="1:10">
      <c r="G3" s="62">
        <f ca="1">TODAY()</f>
        <v>46139</v>
      </c>
      <c r="H3" s="62"/>
      <c r="I3" s="62"/>
      <c r="J3" s="62"/>
    </row>
    <row r="4" spans="1:10">
      <c r="G4" s="6"/>
      <c r="H4" s="6"/>
      <c r="I4" s="6"/>
      <c r="J4" s="6"/>
    </row>
    <row r="5" spans="1:10" ht="18" customHeight="1">
      <c r="A5" s="45" t="s">
        <v>1</v>
      </c>
      <c r="B5" s="46"/>
      <c r="C5" s="46"/>
      <c r="D5" s="46"/>
      <c r="E5" s="46"/>
      <c r="F5" s="46"/>
      <c r="G5" s="46"/>
      <c r="H5" s="46"/>
      <c r="I5" s="46"/>
      <c r="J5" s="46"/>
    </row>
    <row r="6" spans="1:10" ht="15.95" customHeight="1">
      <c r="A6" s="1"/>
      <c r="B6" s="47" t="s">
        <v>2</v>
      </c>
      <c r="C6" s="48"/>
      <c r="D6" s="47" t="s">
        <v>3</v>
      </c>
      <c r="E6" s="48"/>
      <c r="F6" s="49" t="s">
        <v>4</v>
      </c>
      <c r="G6" s="63"/>
      <c r="H6" s="63"/>
      <c r="I6" s="63"/>
      <c r="J6" s="50"/>
    </row>
    <row r="7" spans="1:10" ht="15.75" customHeight="1">
      <c r="A7" s="2" t="s">
        <v>5</v>
      </c>
      <c r="B7" s="43" t="s">
        <v>6</v>
      </c>
      <c r="C7" s="44"/>
      <c r="D7" s="51"/>
      <c r="E7" s="52"/>
      <c r="F7" s="57"/>
      <c r="G7" s="58"/>
      <c r="H7" s="58"/>
      <c r="I7" s="58"/>
      <c r="J7" s="59"/>
    </row>
    <row r="8" spans="1:10" ht="18" customHeight="1">
      <c r="A8" s="2" t="s">
        <v>7</v>
      </c>
      <c r="B8" s="43" t="s">
        <v>8</v>
      </c>
      <c r="C8" s="44"/>
      <c r="D8" s="51"/>
      <c r="E8" s="52"/>
      <c r="F8" s="57"/>
      <c r="G8" s="58"/>
      <c r="H8" s="58"/>
      <c r="I8" s="58"/>
      <c r="J8" s="59"/>
    </row>
    <row r="9" spans="1:10" ht="18" customHeight="1">
      <c r="A9" s="2" t="s">
        <v>9</v>
      </c>
      <c r="B9" s="43" t="s">
        <v>10</v>
      </c>
      <c r="C9" s="44"/>
      <c r="D9" s="51"/>
      <c r="E9" s="52"/>
      <c r="F9" s="53"/>
      <c r="G9" s="54"/>
      <c r="H9" s="54"/>
      <c r="I9" s="54"/>
      <c r="J9" s="55"/>
    </row>
    <row r="10" spans="1:10" ht="15" customHeight="1">
      <c r="A10" s="56" t="s">
        <v>11</v>
      </c>
      <c r="B10" s="46"/>
      <c r="C10" s="46"/>
      <c r="D10" s="46"/>
      <c r="E10" s="46"/>
      <c r="F10" s="46"/>
      <c r="G10" s="46"/>
      <c r="H10" s="46"/>
      <c r="I10" s="46"/>
      <c r="J10" s="46"/>
    </row>
    <row r="11" spans="1:10" ht="15.95" customHeight="1">
      <c r="A11" s="1"/>
      <c r="B11" s="47" t="s">
        <v>2</v>
      </c>
      <c r="C11" s="48"/>
      <c r="D11" s="47" t="s">
        <v>12</v>
      </c>
      <c r="E11" s="48"/>
      <c r="F11" s="48"/>
      <c r="G11" s="48"/>
      <c r="H11" s="48"/>
      <c r="I11" s="48"/>
      <c r="J11" s="48"/>
    </row>
    <row r="12" spans="1:10" ht="18" customHeight="1">
      <c r="A12" s="2" t="s">
        <v>5</v>
      </c>
      <c r="B12" s="43" t="s">
        <v>6</v>
      </c>
      <c r="C12" s="44"/>
      <c r="D12" s="43"/>
      <c r="E12" s="44"/>
      <c r="F12" s="44"/>
      <c r="G12" s="44"/>
      <c r="H12" s="44"/>
      <c r="I12" s="44"/>
      <c r="J12" s="44"/>
    </row>
    <row r="13" spans="1:10" ht="18" customHeight="1">
      <c r="A13" s="2" t="s">
        <v>7</v>
      </c>
      <c r="B13" s="43" t="s">
        <v>8</v>
      </c>
      <c r="C13" s="44"/>
      <c r="D13" s="43"/>
      <c r="E13" s="44"/>
      <c r="F13" s="44"/>
      <c r="G13" s="44"/>
      <c r="H13" s="44"/>
      <c r="I13" s="44"/>
      <c r="J13" s="44"/>
    </row>
    <row r="14" spans="1:10" ht="18" customHeight="1">
      <c r="A14" s="2" t="s">
        <v>9</v>
      </c>
      <c r="B14" s="43" t="s">
        <v>10</v>
      </c>
      <c r="C14" s="44"/>
      <c r="D14" s="43"/>
      <c r="E14" s="44"/>
      <c r="F14" s="44"/>
      <c r="G14" s="44"/>
      <c r="H14" s="44"/>
      <c r="I14" s="44"/>
      <c r="J14" s="44"/>
    </row>
    <row r="16" spans="1:10" ht="18" customHeight="1">
      <c r="A16" s="45" t="s">
        <v>25</v>
      </c>
      <c r="B16" s="46"/>
      <c r="C16" s="46"/>
      <c r="D16" s="46"/>
      <c r="E16" s="46"/>
      <c r="F16" s="46"/>
      <c r="G16" s="46"/>
      <c r="H16" s="46"/>
      <c r="I16" s="46"/>
      <c r="J16" s="46"/>
    </row>
    <row r="17" spans="1:10" ht="15.95" customHeight="1">
      <c r="A17" s="1"/>
      <c r="B17" s="47" t="s">
        <v>13</v>
      </c>
      <c r="C17" s="48"/>
      <c r="D17" s="48"/>
      <c r="E17" s="1" t="s">
        <v>37</v>
      </c>
      <c r="F17" s="1" t="s">
        <v>38</v>
      </c>
      <c r="G17" s="1" t="s">
        <v>14</v>
      </c>
      <c r="H17" s="1" t="s">
        <v>20</v>
      </c>
      <c r="I17" s="49" t="s">
        <v>15</v>
      </c>
      <c r="J17" s="50"/>
    </row>
    <row r="18" spans="1:10" ht="18" customHeight="1">
      <c r="A18" s="2" t="s">
        <v>5</v>
      </c>
      <c r="B18" s="43" t="s">
        <v>6</v>
      </c>
      <c r="C18" s="44"/>
      <c r="D18" s="44"/>
      <c r="E18" s="2"/>
      <c r="F18" s="2"/>
      <c r="G18" s="2"/>
      <c r="H18" s="7" t="s">
        <v>21</v>
      </c>
      <c r="I18" s="24"/>
      <c r="J18" s="25"/>
    </row>
    <row r="19" spans="1:10" ht="18" customHeight="1">
      <c r="A19" s="2">
        <v>2</v>
      </c>
      <c r="B19" s="43" t="s">
        <v>10</v>
      </c>
      <c r="C19" s="44"/>
      <c r="D19" s="44"/>
      <c r="E19" s="2"/>
      <c r="F19" s="2"/>
      <c r="G19" s="2"/>
      <c r="H19" s="7" t="s">
        <v>21</v>
      </c>
      <c r="I19" s="24"/>
      <c r="J19" s="25"/>
    </row>
    <row r="20" spans="1:10" ht="18" customHeight="1">
      <c r="A20" s="2">
        <v>3</v>
      </c>
      <c r="B20" s="43" t="s">
        <v>17</v>
      </c>
      <c r="C20" s="44"/>
      <c r="D20" s="44"/>
      <c r="E20" s="2"/>
      <c r="F20" s="2"/>
      <c r="G20" s="2"/>
      <c r="H20" s="7" t="s">
        <v>21</v>
      </c>
      <c r="I20" s="24"/>
      <c r="J20" s="25"/>
    </row>
    <row r="21" spans="1:10" ht="15.95" customHeight="1">
      <c r="A21" s="3"/>
      <c r="B21" s="26"/>
      <c r="C21" s="27"/>
      <c r="D21" s="28"/>
      <c r="E21" s="14"/>
      <c r="F21" s="2" t="s">
        <v>39</v>
      </c>
      <c r="G21" s="17">
        <f>SUM(G18:G20)</f>
        <v>0</v>
      </c>
      <c r="H21" s="15"/>
      <c r="I21" s="24"/>
      <c r="J21" s="25"/>
    </row>
    <row r="23" spans="1:10" ht="18" customHeight="1">
      <c r="A23" s="45" t="s">
        <v>33</v>
      </c>
      <c r="B23" s="46"/>
      <c r="C23" s="46"/>
      <c r="D23" s="46"/>
      <c r="E23" s="46"/>
      <c r="F23" s="46"/>
      <c r="G23" s="46"/>
      <c r="H23" s="46"/>
      <c r="I23" s="46"/>
      <c r="J23" s="46"/>
    </row>
    <row r="24" spans="1:10" ht="15.95" customHeight="1">
      <c r="A24" s="1"/>
      <c r="B24" s="47" t="s">
        <v>13</v>
      </c>
      <c r="C24" s="48"/>
      <c r="D24" s="48"/>
      <c r="E24" s="8" t="s">
        <v>30</v>
      </c>
      <c r="F24" s="1" t="s">
        <v>26</v>
      </c>
      <c r="G24" s="1" t="s">
        <v>28</v>
      </c>
      <c r="H24" s="1" t="s">
        <v>20</v>
      </c>
      <c r="I24" s="49"/>
      <c r="J24" s="50"/>
    </row>
    <row r="25" spans="1:10" ht="18" customHeight="1">
      <c r="A25" s="33">
        <v>1</v>
      </c>
      <c r="B25" s="21" t="s">
        <v>6</v>
      </c>
      <c r="C25" s="22"/>
      <c r="D25" s="23"/>
      <c r="E25" s="9"/>
      <c r="F25" s="2"/>
      <c r="G25" s="12"/>
      <c r="H25" s="7" t="s">
        <v>21</v>
      </c>
      <c r="I25" s="24"/>
      <c r="J25" s="25"/>
    </row>
    <row r="26" spans="1:10" ht="18" customHeight="1">
      <c r="A26" s="31"/>
      <c r="B26" s="67"/>
      <c r="C26" s="68"/>
      <c r="D26" s="69"/>
      <c r="E26" s="9"/>
      <c r="F26" s="2"/>
      <c r="G26" s="12"/>
      <c r="H26" s="7" t="s">
        <v>21</v>
      </c>
      <c r="I26" s="24"/>
      <c r="J26" s="25"/>
    </row>
    <row r="27" spans="1:10" ht="18" customHeight="1">
      <c r="A27" s="31"/>
      <c r="B27" s="67"/>
      <c r="C27" s="68"/>
      <c r="D27" s="69"/>
      <c r="E27" s="9"/>
      <c r="F27" s="2"/>
      <c r="G27" s="12"/>
      <c r="H27" s="7" t="s">
        <v>21</v>
      </c>
      <c r="I27" s="24"/>
      <c r="J27" s="25"/>
    </row>
    <row r="28" spans="1:10" ht="18" customHeight="1">
      <c r="A28" s="32"/>
      <c r="B28" s="64"/>
      <c r="C28" s="65"/>
      <c r="D28" s="66"/>
      <c r="E28" s="9"/>
      <c r="F28" s="2"/>
      <c r="G28" s="12"/>
      <c r="H28" s="7" t="s">
        <v>21</v>
      </c>
      <c r="I28" s="24"/>
      <c r="J28" s="25"/>
    </row>
    <row r="29" spans="1:10" ht="18" customHeight="1">
      <c r="A29" s="2">
        <v>2</v>
      </c>
      <c r="B29" s="43" t="s">
        <v>8</v>
      </c>
      <c r="C29" s="44"/>
      <c r="D29" s="44"/>
      <c r="E29" s="9"/>
      <c r="F29" s="2"/>
      <c r="G29" s="12"/>
      <c r="H29" s="7" t="s">
        <v>21</v>
      </c>
      <c r="I29" s="24"/>
      <c r="J29" s="25"/>
    </row>
    <row r="30" spans="1:10" ht="18" customHeight="1">
      <c r="A30" s="33">
        <v>3</v>
      </c>
      <c r="B30" s="34" t="s">
        <v>10</v>
      </c>
      <c r="C30" s="35"/>
      <c r="D30" s="36"/>
      <c r="E30" s="9"/>
      <c r="F30" s="2"/>
      <c r="G30" s="12"/>
      <c r="H30" s="7" t="s">
        <v>21</v>
      </c>
      <c r="I30" s="24"/>
      <c r="J30" s="25"/>
    </row>
    <row r="31" spans="1:10" ht="18" customHeight="1">
      <c r="A31" s="31"/>
      <c r="B31" s="40"/>
      <c r="C31" s="41"/>
      <c r="D31" s="42"/>
      <c r="E31" s="9"/>
      <c r="F31" s="2"/>
      <c r="G31" s="12"/>
      <c r="H31" s="7" t="s">
        <v>21</v>
      </c>
      <c r="I31" s="24"/>
      <c r="J31" s="25"/>
    </row>
    <row r="32" spans="1:10" ht="18" customHeight="1">
      <c r="A32" s="33" t="s">
        <v>16</v>
      </c>
      <c r="B32" s="21" t="s">
        <v>17</v>
      </c>
      <c r="C32" s="22"/>
      <c r="D32" s="23"/>
      <c r="E32" s="9"/>
      <c r="F32" s="2"/>
      <c r="G32" s="12"/>
      <c r="H32" s="7" t="s">
        <v>21</v>
      </c>
      <c r="I32" s="24"/>
      <c r="J32" s="25"/>
    </row>
    <row r="33" spans="1:10" ht="18" customHeight="1">
      <c r="A33" s="32"/>
      <c r="B33" s="64"/>
      <c r="C33" s="65"/>
      <c r="D33" s="66"/>
      <c r="E33" s="9"/>
      <c r="F33" s="2"/>
      <c r="G33" s="12"/>
      <c r="H33" s="7" t="s">
        <v>21</v>
      </c>
      <c r="I33" s="24"/>
      <c r="J33" s="25"/>
    </row>
    <row r="34" spans="1:10" ht="15.95" customHeight="1">
      <c r="A34" s="3"/>
      <c r="B34" s="26"/>
      <c r="C34" s="27"/>
      <c r="D34" s="28"/>
      <c r="E34" s="14"/>
      <c r="F34" s="2" t="s">
        <v>39</v>
      </c>
      <c r="G34" s="16">
        <f>SUM(G25:G33)</f>
        <v>0</v>
      </c>
      <c r="H34" s="15"/>
      <c r="I34" s="24"/>
      <c r="J34" s="25"/>
    </row>
    <row r="35" spans="1:10" ht="15.95" customHeight="1">
      <c r="E35" s="10"/>
      <c r="F35" s="4"/>
      <c r="G35" s="13"/>
      <c r="H35" s="5"/>
      <c r="I35" s="5"/>
      <c r="J35" s="5"/>
    </row>
    <row r="36" spans="1:10" ht="15.95" customHeight="1">
      <c r="E36" s="11"/>
      <c r="F36" s="4"/>
      <c r="G36" s="4"/>
      <c r="H36" s="4"/>
      <c r="I36" s="2" t="s">
        <v>47</v>
      </c>
      <c r="J36" s="2" t="s">
        <v>18</v>
      </c>
    </row>
    <row r="37" spans="1:10" ht="45" customHeight="1">
      <c r="E37" s="11"/>
      <c r="F37" s="4"/>
      <c r="G37" s="4"/>
      <c r="H37" s="4"/>
      <c r="I37" s="2"/>
      <c r="J37" s="2"/>
    </row>
    <row r="39" spans="1:10">
      <c r="A39" s="29" t="s">
        <v>48</v>
      </c>
      <c r="B39" s="30"/>
      <c r="C39" s="30"/>
      <c r="D39" s="30"/>
      <c r="E39" s="30"/>
      <c r="F39" s="30"/>
      <c r="G39" s="30"/>
      <c r="H39" s="30"/>
      <c r="I39" s="30"/>
      <c r="J39" s="30"/>
    </row>
  </sheetData>
  <mergeCells count="57">
    <mergeCell ref="A2:J2"/>
    <mergeCell ref="B14:C14"/>
    <mergeCell ref="D8:E8"/>
    <mergeCell ref="B20:D20"/>
    <mergeCell ref="B13:C13"/>
    <mergeCell ref="D13:J13"/>
    <mergeCell ref="B17:D17"/>
    <mergeCell ref="A5:J5"/>
    <mergeCell ref="G3:J3"/>
    <mergeCell ref="I17:J17"/>
    <mergeCell ref="I18:J18"/>
    <mergeCell ref="B9:C9"/>
    <mergeCell ref="D12:J12"/>
    <mergeCell ref="D6:E6"/>
    <mergeCell ref="A16:J16"/>
    <mergeCell ref="B11:C11"/>
    <mergeCell ref="A10:J10"/>
    <mergeCell ref="B18:D18"/>
    <mergeCell ref="D11:J11"/>
    <mergeCell ref="B8:C8"/>
    <mergeCell ref="D14:J14"/>
    <mergeCell ref="F8:J8"/>
    <mergeCell ref="F9:J9"/>
    <mergeCell ref="D9:E9"/>
    <mergeCell ref="B12:C12"/>
    <mergeCell ref="B7:C7"/>
    <mergeCell ref="D7:E7"/>
    <mergeCell ref="B6:C6"/>
    <mergeCell ref="F6:J6"/>
    <mergeCell ref="F7:J7"/>
    <mergeCell ref="B30:D31"/>
    <mergeCell ref="A30:A31"/>
    <mergeCell ref="I31:J31"/>
    <mergeCell ref="B19:D19"/>
    <mergeCell ref="A23:J23"/>
    <mergeCell ref="B24:D24"/>
    <mergeCell ref="I24:J24"/>
    <mergeCell ref="B21:D21"/>
    <mergeCell ref="I21:J21"/>
    <mergeCell ref="I19:J19"/>
    <mergeCell ref="I20:J20"/>
    <mergeCell ref="A39:J39"/>
    <mergeCell ref="I34:J34"/>
    <mergeCell ref="B34:D34"/>
    <mergeCell ref="I25:J25"/>
    <mergeCell ref="I30:J30"/>
    <mergeCell ref="A32:A33"/>
    <mergeCell ref="B32:D33"/>
    <mergeCell ref="I32:J32"/>
    <mergeCell ref="I33:J33"/>
    <mergeCell ref="I26:J26"/>
    <mergeCell ref="I27:J27"/>
    <mergeCell ref="A25:A28"/>
    <mergeCell ref="B25:D28"/>
    <mergeCell ref="I28:J28"/>
    <mergeCell ref="B29:D29"/>
    <mergeCell ref="I29:J29"/>
  </mergeCells>
  <phoneticPr fontId="6"/>
  <pageMargins left="0.5" right="0.5" top="0.4" bottom="0.4" header="0.5" footer="0.5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5693-1921-457D-8CFD-E59855A76E81}">
  <sheetPr>
    <pageSetUpPr fitToPage="1"/>
  </sheetPr>
  <dimension ref="A2:J40"/>
  <sheetViews>
    <sheetView view="pageBreakPreview" zoomScaleNormal="100" zoomScaleSheetLayoutView="100" workbookViewId="0">
      <selection activeCell="F26" sqref="F26"/>
    </sheetView>
  </sheetViews>
  <sheetFormatPr defaultRowHeight="13.5"/>
  <cols>
    <col min="1" max="1" width="3.5" customWidth="1"/>
    <col min="2" max="2" width="14" customWidth="1"/>
    <col min="3" max="3" width="9.5" customWidth="1"/>
    <col min="4" max="4" width="7.625" customWidth="1"/>
    <col min="5" max="5" width="13.875" bestFit="1" customWidth="1"/>
    <col min="6" max="6" width="16.25" customWidth="1"/>
    <col min="7" max="7" width="11.875" customWidth="1"/>
    <col min="8" max="8" width="7.75" bestFit="1" customWidth="1"/>
    <col min="9" max="10" width="10.625" customWidth="1"/>
  </cols>
  <sheetData>
    <row r="2" spans="1:10" ht="27.95" customHeight="1">
      <c r="A2" s="60" t="s">
        <v>0</v>
      </c>
      <c r="B2" s="61"/>
      <c r="C2" s="61"/>
      <c r="D2" s="61"/>
      <c r="E2" s="61"/>
      <c r="F2" s="61"/>
      <c r="G2" s="61"/>
      <c r="H2" s="61"/>
      <c r="I2" s="61"/>
      <c r="J2" s="61"/>
    </row>
    <row r="3" spans="1:10">
      <c r="G3" s="62">
        <f ca="1">TODAY()</f>
        <v>46139</v>
      </c>
      <c r="H3" s="62"/>
      <c r="I3" s="62"/>
      <c r="J3" s="62"/>
    </row>
    <row r="4" spans="1:10">
      <c r="G4" s="6"/>
      <c r="H4" s="6"/>
      <c r="I4" s="6"/>
      <c r="J4" s="6"/>
    </row>
    <row r="5" spans="1:10" ht="18" customHeight="1">
      <c r="A5" s="45" t="s">
        <v>1</v>
      </c>
      <c r="B5" s="46"/>
      <c r="C5" s="46"/>
      <c r="D5" s="46"/>
      <c r="E5" s="46"/>
      <c r="F5" s="46"/>
      <c r="G5" s="46"/>
      <c r="H5" s="46"/>
      <c r="I5" s="46"/>
      <c r="J5" s="46"/>
    </row>
    <row r="6" spans="1:10" ht="15.95" customHeight="1">
      <c r="A6" s="1"/>
      <c r="B6" s="47" t="s">
        <v>2</v>
      </c>
      <c r="C6" s="48"/>
      <c r="D6" s="47" t="s">
        <v>3</v>
      </c>
      <c r="E6" s="48"/>
      <c r="F6" s="49" t="s">
        <v>4</v>
      </c>
      <c r="G6" s="63"/>
      <c r="H6" s="63"/>
      <c r="I6" s="63"/>
      <c r="J6" s="50"/>
    </row>
    <row r="7" spans="1:10" ht="15.75" customHeight="1">
      <c r="A7" s="2" t="s">
        <v>5</v>
      </c>
      <c r="B7" s="43" t="s">
        <v>6</v>
      </c>
      <c r="C7" s="44"/>
      <c r="D7" s="51">
        <v>46071.59375</v>
      </c>
      <c r="E7" s="52"/>
      <c r="F7" s="57" t="s">
        <v>40</v>
      </c>
      <c r="G7" s="58"/>
      <c r="H7" s="58"/>
      <c r="I7" s="58"/>
      <c r="J7" s="59"/>
    </row>
    <row r="8" spans="1:10" ht="18" customHeight="1">
      <c r="A8" s="2" t="s">
        <v>7</v>
      </c>
      <c r="B8" s="43" t="s">
        <v>8</v>
      </c>
      <c r="C8" s="44"/>
      <c r="D8" s="51">
        <v>46063.510416666664</v>
      </c>
      <c r="E8" s="52"/>
      <c r="F8" s="57" t="s">
        <v>19</v>
      </c>
      <c r="G8" s="58"/>
      <c r="H8" s="58"/>
      <c r="I8" s="58"/>
      <c r="J8" s="59"/>
    </row>
    <row r="9" spans="1:10" ht="18" customHeight="1">
      <c r="A9" s="2" t="s">
        <v>9</v>
      </c>
      <c r="B9" s="43" t="s">
        <v>10</v>
      </c>
      <c r="C9" s="44"/>
      <c r="D9" s="51">
        <v>46071.584027777775</v>
      </c>
      <c r="E9" s="52"/>
      <c r="F9" s="53" t="s">
        <v>22</v>
      </c>
      <c r="G9" s="54"/>
      <c r="H9" s="54"/>
      <c r="I9" s="54"/>
      <c r="J9" s="55"/>
    </row>
    <row r="10" spans="1:10" ht="15" customHeight="1">
      <c r="A10" s="56" t="s">
        <v>11</v>
      </c>
      <c r="B10" s="46"/>
      <c r="C10" s="46"/>
      <c r="D10" s="46"/>
      <c r="E10" s="46"/>
      <c r="F10" s="46"/>
      <c r="G10" s="46"/>
      <c r="H10" s="46"/>
      <c r="I10" s="46"/>
      <c r="J10" s="46"/>
    </row>
    <row r="11" spans="1:10" ht="15.95" customHeight="1">
      <c r="A11" s="1"/>
      <c r="B11" s="47" t="s">
        <v>2</v>
      </c>
      <c r="C11" s="48"/>
      <c r="D11" s="47" t="s">
        <v>12</v>
      </c>
      <c r="E11" s="48"/>
      <c r="F11" s="48"/>
      <c r="G11" s="48"/>
      <c r="H11" s="48"/>
      <c r="I11" s="48"/>
      <c r="J11" s="48"/>
    </row>
    <row r="12" spans="1:10" ht="18" customHeight="1">
      <c r="A12" s="2" t="s">
        <v>5</v>
      </c>
      <c r="B12" s="43" t="s">
        <v>6</v>
      </c>
      <c r="C12" s="44"/>
      <c r="D12" s="43" t="s">
        <v>41</v>
      </c>
      <c r="E12" s="44"/>
      <c r="F12" s="44"/>
      <c r="G12" s="44"/>
      <c r="H12" s="44"/>
      <c r="I12" s="44"/>
      <c r="J12" s="44"/>
    </row>
    <row r="13" spans="1:10" ht="18" customHeight="1">
      <c r="A13" s="2" t="s">
        <v>7</v>
      </c>
      <c r="B13" s="43" t="s">
        <v>8</v>
      </c>
      <c r="C13" s="44"/>
      <c r="D13" s="43" t="s">
        <v>24</v>
      </c>
      <c r="E13" s="44"/>
      <c r="F13" s="44"/>
      <c r="G13" s="44"/>
      <c r="H13" s="44"/>
      <c r="I13" s="44"/>
      <c r="J13" s="44"/>
    </row>
    <row r="14" spans="1:10" ht="18" customHeight="1">
      <c r="A14" s="2" t="s">
        <v>9</v>
      </c>
      <c r="B14" s="43" t="s">
        <v>10</v>
      </c>
      <c r="C14" s="44"/>
      <c r="D14" s="43" t="s">
        <v>23</v>
      </c>
      <c r="E14" s="44"/>
      <c r="F14" s="44"/>
      <c r="G14" s="44"/>
      <c r="H14" s="44"/>
      <c r="I14" s="44"/>
      <c r="J14" s="44"/>
    </row>
    <row r="16" spans="1:10" ht="18" customHeight="1">
      <c r="A16" s="45" t="s">
        <v>25</v>
      </c>
      <c r="B16" s="46"/>
      <c r="C16" s="46"/>
      <c r="D16" s="46"/>
      <c r="E16" s="46"/>
      <c r="F16" s="46"/>
      <c r="G16" s="46"/>
      <c r="H16" s="46"/>
      <c r="I16" s="46"/>
      <c r="J16" s="46"/>
    </row>
    <row r="17" spans="1:10" ht="15.95" customHeight="1">
      <c r="A17" s="1"/>
      <c r="B17" s="47" t="s">
        <v>13</v>
      </c>
      <c r="C17" s="48"/>
      <c r="D17" s="48"/>
      <c r="E17" s="1" t="s">
        <v>37</v>
      </c>
      <c r="F17" s="1" t="s">
        <v>38</v>
      </c>
      <c r="G17" s="1" t="s">
        <v>14</v>
      </c>
      <c r="H17" s="1" t="s">
        <v>20</v>
      </c>
      <c r="I17" s="49" t="s">
        <v>15</v>
      </c>
      <c r="J17" s="50"/>
    </row>
    <row r="18" spans="1:10" ht="18" customHeight="1">
      <c r="A18" s="2" t="s">
        <v>5</v>
      </c>
      <c r="B18" s="43" t="s">
        <v>6</v>
      </c>
      <c r="C18" s="44"/>
      <c r="D18" s="44"/>
      <c r="E18" s="2">
        <v>11</v>
      </c>
      <c r="F18" s="2">
        <f>13+10+7+8</f>
        <v>38</v>
      </c>
      <c r="G18" s="2">
        <f>E18+F18</f>
        <v>49</v>
      </c>
      <c r="H18" s="7" t="s">
        <v>21</v>
      </c>
      <c r="I18" s="24"/>
      <c r="J18" s="25"/>
    </row>
    <row r="19" spans="1:10" ht="18" customHeight="1">
      <c r="A19" s="2">
        <v>2</v>
      </c>
      <c r="B19" s="43" t="s">
        <v>10</v>
      </c>
      <c r="C19" s="44"/>
      <c r="D19" s="44"/>
      <c r="E19" s="2">
        <v>6</v>
      </c>
      <c r="F19" s="2">
        <v>21</v>
      </c>
      <c r="G19" s="2">
        <f>E19+F19</f>
        <v>27</v>
      </c>
      <c r="H19" s="7" t="s">
        <v>21</v>
      </c>
      <c r="I19" s="24"/>
      <c r="J19" s="25"/>
    </row>
    <row r="20" spans="1:10" ht="18" customHeight="1">
      <c r="A20" s="2">
        <v>3</v>
      </c>
      <c r="B20" s="43" t="s">
        <v>17</v>
      </c>
      <c r="C20" s="44"/>
      <c r="D20" s="44"/>
      <c r="E20" s="2">
        <v>4</v>
      </c>
      <c r="F20" s="2">
        <v>7</v>
      </c>
      <c r="G20" s="2">
        <v>11</v>
      </c>
      <c r="H20" s="7" t="s">
        <v>21</v>
      </c>
      <c r="I20" s="24"/>
      <c r="J20" s="25"/>
    </row>
    <row r="21" spans="1:10" ht="15.95" customHeight="1">
      <c r="A21" s="3"/>
      <c r="B21" s="26"/>
      <c r="C21" s="27"/>
      <c r="D21" s="28"/>
      <c r="E21" s="14"/>
      <c r="F21" s="2" t="s">
        <v>39</v>
      </c>
      <c r="G21" s="17">
        <f>SUM(G18:G20)</f>
        <v>87</v>
      </c>
      <c r="H21" s="15"/>
      <c r="I21" s="24"/>
      <c r="J21" s="25"/>
    </row>
    <row r="23" spans="1:10" ht="18" customHeight="1">
      <c r="A23" s="45" t="s">
        <v>33</v>
      </c>
      <c r="B23" s="46"/>
      <c r="C23" s="46"/>
      <c r="D23" s="46"/>
      <c r="E23" s="46"/>
      <c r="F23" s="46"/>
      <c r="G23" s="46"/>
      <c r="H23" s="46"/>
      <c r="I23" s="46"/>
      <c r="J23" s="46"/>
    </row>
    <row r="24" spans="1:10" ht="15.95" customHeight="1">
      <c r="A24" s="1"/>
      <c r="B24" s="47" t="s">
        <v>13</v>
      </c>
      <c r="C24" s="48"/>
      <c r="D24" s="48"/>
      <c r="E24" s="8" t="s">
        <v>30</v>
      </c>
      <c r="F24" s="1" t="s">
        <v>26</v>
      </c>
      <c r="G24" s="1" t="s">
        <v>28</v>
      </c>
      <c r="H24" s="1" t="s">
        <v>20</v>
      </c>
      <c r="I24" s="49"/>
      <c r="J24" s="50"/>
    </row>
    <row r="25" spans="1:10" ht="18" customHeight="1">
      <c r="A25" s="33">
        <v>1</v>
      </c>
      <c r="B25" s="21" t="s">
        <v>6</v>
      </c>
      <c r="C25" s="22"/>
      <c r="D25" s="23"/>
      <c r="E25" s="9" t="s">
        <v>43</v>
      </c>
      <c r="F25" s="2" t="s">
        <v>27</v>
      </c>
      <c r="G25" s="12">
        <v>2748500</v>
      </c>
      <c r="H25" s="7" t="s">
        <v>21</v>
      </c>
      <c r="I25" s="24"/>
      <c r="J25" s="25"/>
    </row>
    <row r="26" spans="1:10" ht="18" customHeight="1">
      <c r="A26" s="31"/>
      <c r="B26" s="67"/>
      <c r="C26" s="68"/>
      <c r="D26" s="69"/>
      <c r="E26" s="9" t="s">
        <v>44</v>
      </c>
      <c r="F26" s="2" t="s">
        <v>29</v>
      </c>
      <c r="G26" s="12">
        <v>1800</v>
      </c>
      <c r="H26" s="7" t="s">
        <v>21</v>
      </c>
      <c r="I26" s="24"/>
      <c r="J26" s="25"/>
    </row>
    <row r="27" spans="1:10" ht="18" customHeight="1">
      <c r="A27" s="31"/>
      <c r="B27" s="67"/>
      <c r="C27" s="68"/>
      <c r="D27" s="69"/>
      <c r="E27" s="9" t="s">
        <v>45</v>
      </c>
      <c r="F27" s="2" t="s">
        <v>27</v>
      </c>
      <c r="G27" s="12">
        <v>3706500</v>
      </c>
      <c r="H27" s="7" t="s">
        <v>21</v>
      </c>
      <c r="I27" s="24"/>
      <c r="J27" s="25"/>
    </row>
    <row r="28" spans="1:10" ht="18" customHeight="1">
      <c r="A28" s="32"/>
      <c r="B28" s="64"/>
      <c r="C28" s="65"/>
      <c r="D28" s="66"/>
      <c r="E28" s="9" t="s">
        <v>46</v>
      </c>
      <c r="F28" s="2" t="s">
        <v>27</v>
      </c>
      <c r="G28" s="12">
        <v>7012300</v>
      </c>
      <c r="H28" s="7" t="s">
        <v>21</v>
      </c>
      <c r="I28" s="24"/>
      <c r="J28" s="25"/>
    </row>
    <row r="29" spans="1:10" ht="18" customHeight="1">
      <c r="A29" s="2">
        <v>2</v>
      </c>
      <c r="B29" s="43" t="s">
        <v>8</v>
      </c>
      <c r="C29" s="44"/>
      <c r="D29" s="44"/>
      <c r="E29" s="9" t="s">
        <v>42</v>
      </c>
      <c r="F29" s="2" t="s">
        <v>27</v>
      </c>
      <c r="G29" s="12">
        <v>2638500</v>
      </c>
      <c r="H29" s="7" t="s">
        <v>21</v>
      </c>
      <c r="I29" s="24"/>
      <c r="J29" s="25"/>
    </row>
    <row r="30" spans="1:10" ht="18" customHeight="1">
      <c r="A30" s="33">
        <v>3</v>
      </c>
      <c r="B30" s="34" t="s">
        <v>10</v>
      </c>
      <c r="C30" s="35"/>
      <c r="D30" s="36"/>
      <c r="E30" s="9" t="s">
        <v>34</v>
      </c>
      <c r="F30" s="2" t="s">
        <v>27</v>
      </c>
      <c r="G30" s="12">
        <v>8610700</v>
      </c>
      <c r="H30" s="7" t="s">
        <v>21</v>
      </c>
      <c r="I30" s="24"/>
      <c r="J30" s="25"/>
    </row>
    <row r="31" spans="1:10" ht="18" customHeight="1">
      <c r="A31" s="31"/>
      <c r="B31" s="40"/>
      <c r="C31" s="41"/>
      <c r="D31" s="42"/>
      <c r="E31" s="9" t="s">
        <v>35</v>
      </c>
      <c r="F31" s="2" t="s">
        <v>27</v>
      </c>
      <c r="G31" s="12">
        <v>3699100</v>
      </c>
      <c r="H31" s="7" t="s">
        <v>21</v>
      </c>
      <c r="I31" s="24"/>
      <c r="J31" s="25"/>
    </row>
    <row r="32" spans="1:10" ht="18" customHeight="1">
      <c r="A32" s="32"/>
      <c r="B32" s="37"/>
      <c r="C32" s="38"/>
      <c r="D32" s="39"/>
      <c r="E32" s="9" t="s">
        <v>36</v>
      </c>
      <c r="F32" s="2" t="s">
        <v>27</v>
      </c>
      <c r="G32" s="12">
        <v>2285400</v>
      </c>
      <c r="H32" s="7" t="s">
        <v>21</v>
      </c>
      <c r="I32" s="24"/>
      <c r="J32" s="25"/>
    </row>
    <row r="33" spans="1:10" ht="18" customHeight="1">
      <c r="A33" s="33" t="s">
        <v>16</v>
      </c>
      <c r="B33" s="21" t="s">
        <v>17</v>
      </c>
      <c r="C33" s="22"/>
      <c r="D33" s="23"/>
      <c r="E33" s="9" t="s">
        <v>31</v>
      </c>
      <c r="F33" s="2" t="s">
        <v>29</v>
      </c>
      <c r="G33" s="12">
        <v>36800</v>
      </c>
      <c r="H33" s="7" t="s">
        <v>21</v>
      </c>
      <c r="I33" s="24"/>
      <c r="J33" s="25"/>
    </row>
    <row r="34" spans="1:10" ht="18" customHeight="1">
      <c r="A34" s="32"/>
      <c r="B34" s="64"/>
      <c r="C34" s="65"/>
      <c r="D34" s="66"/>
      <c r="E34" s="9" t="s">
        <v>32</v>
      </c>
      <c r="F34" s="2" t="s">
        <v>27</v>
      </c>
      <c r="G34" s="12">
        <v>4574900</v>
      </c>
      <c r="H34" s="7" t="s">
        <v>21</v>
      </c>
      <c r="I34" s="24"/>
      <c r="J34" s="25"/>
    </row>
    <row r="35" spans="1:10" ht="15.95" customHeight="1">
      <c r="A35" s="3"/>
      <c r="B35" s="26"/>
      <c r="C35" s="27"/>
      <c r="D35" s="28"/>
      <c r="E35" s="14"/>
      <c r="F35" s="2" t="s">
        <v>39</v>
      </c>
      <c r="G35" s="16">
        <f>SUM(G25:G34)</f>
        <v>35314500</v>
      </c>
      <c r="H35" s="15"/>
      <c r="I35" s="24"/>
      <c r="J35" s="25"/>
    </row>
    <row r="36" spans="1:10" ht="15.95" customHeight="1">
      <c r="E36" s="10"/>
      <c r="F36" s="4"/>
      <c r="G36" s="13"/>
      <c r="H36" s="5"/>
      <c r="I36" s="5"/>
      <c r="J36" s="5"/>
    </row>
    <row r="37" spans="1:10" ht="15.95" customHeight="1">
      <c r="E37" s="11"/>
      <c r="F37" s="4"/>
      <c r="G37" s="4"/>
      <c r="H37" s="4"/>
      <c r="I37" s="2" t="s">
        <v>47</v>
      </c>
      <c r="J37" s="2" t="s">
        <v>18</v>
      </c>
    </row>
    <row r="38" spans="1:10" ht="45" customHeight="1">
      <c r="E38" s="11"/>
      <c r="F38" s="4"/>
      <c r="G38" s="4"/>
      <c r="H38" s="4"/>
      <c r="I38" s="2"/>
      <c r="J38" s="2"/>
    </row>
    <row r="40" spans="1:10">
      <c r="A40" s="29" t="s">
        <v>48</v>
      </c>
      <c r="B40" s="30"/>
      <c r="C40" s="30"/>
      <c r="D40" s="30"/>
      <c r="E40" s="30"/>
      <c r="F40" s="30"/>
      <c r="G40" s="30"/>
      <c r="H40" s="30"/>
      <c r="I40" s="30"/>
      <c r="J40" s="30"/>
    </row>
  </sheetData>
  <mergeCells count="58">
    <mergeCell ref="A40:J40"/>
    <mergeCell ref="A33:A34"/>
    <mergeCell ref="B33:D34"/>
    <mergeCell ref="I33:J33"/>
    <mergeCell ref="I34:J34"/>
    <mergeCell ref="B35:D35"/>
    <mergeCell ref="I35:J35"/>
    <mergeCell ref="B29:D29"/>
    <mergeCell ref="I29:J29"/>
    <mergeCell ref="A30:A32"/>
    <mergeCell ref="B30:D32"/>
    <mergeCell ref="I30:J30"/>
    <mergeCell ref="I31:J31"/>
    <mergeCell ref="I32:J32"/>
    <mergeCell ref="A25:A28"/>
    <mergeCell ref="B25:D28"/>
    <mergeCell ref="I25:J25"/>
    <mergeCell ref="I26:J26"/>
    <mergeCell ref="I27:J27"/>
    <mergeCell ref="I28:J28"/>
    <mergeCell ref="B24:D24"/>
    <mergeCell ref="I24:J24"/>
    <mergeCell ref="A16:J16"/>
    <mergeCell ref="B17:D17"/>
    <mergeCell ref="I17:J17"/>
    <mergeCell ref="B18:D18"/>
    <mergeCell ref="I18:J18"/>
    <mergeCell ref="B19:D19"/>
    <mergeCell ref="I19:J19"/>
    <mergeCell ref="B20:D20"/>
    <mergeCell ref="I20:J20"/>
    <mergeCell ref="B21:D21"/>
    <mergeCell ref="I21:J21"/>
    <mergeCell ref="A23:J23"/>
    <mergeCell ref="B12:C12"/>
    <mergeCell ref="D12:J12"/>
    <mergeCell ref="B13:C13"/>
    <mergeCell ref="D13:J13"/>
    <mergeCell ref="B14:C14"/>
    <mergeCell ref="D14:J14"/>
    <mergeCell ref="B9:C9"/>
    <mergeCell ref="D9:E9"/>
    <mergeCell ref="F9:J9"/>
    <mergeCell ref="A10:J10"/>
    <mergeCell ref="B11:C11"/>
    <mergeCell ref="D11:J11"/>
    <mergeCell ref="B7:C7"/>
    <mergeCell ref="D7:E7"/>
    <mergeCell ref="F7:J7"/>
    <mergeCell ref="B8:C8"/>
    <mergeCell ref="D8:E8"/>
    <mergeCell ref="F8:J8"/>
    <mergeCell ref="A2:J2"/>
    <mergeCell ref="G3:J3"/>
    <mergeCell ref="A5:J5"/>
    <mergeCell ref="B6:C6"/>
    <mergeCell ref="D6:E6"/>
    <mergeCell ref="F6:J6"/>
  </mergeCells>
  <phoneticPr fontId="6"/>
  <pageMargins left="0.5" right="0.5" top="0.4" bottom="0.4" header="0.5" footer="0.5"/>
  <pageSetup paperSize="9" scale="8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A27A-D0C0-4740-BD64-A05E9D125872}">
  <sheetPr>
    <pageSetUpPr fitToPage="1"/>
  </sheetPr>
  <dimension ref="A2:J40"/>
  <sheetViews>
    <sheetView view="pageBreakPreview" zoomScaleNormal="100" zoomScaleSheetLayoutView="100" workbookViewId="0">
      <selection activeCell="M22" sqref="M22"/>
    </sheetView>
  </sheetViews>
  <sheetFormatPr defaultRowHeight="13.5"/>
  <cols>
    <col min="1" max="1" width="3.5" customWidth="1"/>
    <col min="2" max="2" width="14" customWidth="1"/>
    <col min="3" max="3" width="9.5" customWidth="1"/>
    <col min="4" max="4" width="7.625" customWidth="1"/>
    <col min="5" max="5" width="13.875" bestFit="1" customWidth="1"/>
    <col min="6" max="6" width="16.25" customWidth="1"/>
    <col min="7" max="7" width="11.875" customWidth="1"/>
    <col min="8" max="8" width="7.75" bestFit="1" customWidth="1"/>
    <col min="9" max="10" width="10.625" customWidth="1"/>
  </cols>
  <sheetData>
    <row r="2" spans="1:10" ht="27.95" customHeight="1">
      <c r="A2" s="60" t="s">
        <v>51</v>
      </c>
      <c r="B2" s="61"/>
      <c r="C2" s="61"/>
      <c r="D2" s="61"/>
      <c r="E2" s="61"/>
      <c r="F2" s="61"/>
      <c r="G2" s="61"/>
      <c r="H2" s="61"/>
      <c r="I2" s="61"/>
      <c r="J2" s="61"/>
    </row>
    <row r="3" spans="1:10">
      <c r="G3" s="62">
        <f ca="1">TODAY()</f>
        <v>46139</v>
      </c>
      <c r="H3" s="62"/>
      <c r="I3" s="62"/>
      <c r="J3" s="62"/>
    </row>
    <row r="4" spans="1:10">
      <c r="G4" s="6"/>
      <c r="H4" s="6"/>
      <c r="I4" s="6"/>
      <c r="J4" s="6"/>
    </row>
    <row r="5" spans="1:10" ht="18" customHeight="1">
      <c r="A5" s="45" t="s">
        <v>1</v>
      </c>
      <c r="B5" s="46"/>
      <c r="C5" s="46"/>
      <c r="D5" s="46"/>
      <c r="E5" s="46"/>
      <c r="F5" s="46"/>
      <c r="G5" s="46"/>
      <c r="H5" s="46"/>
      <c r="I5" s="46"/>
      <c r="J5" s="46"/>
    </row>
    <row r="6" spans="1:10" ht="15.95" customHeight="1">
      <c r="A6" s="1"/>
      <c r="B6" s="47" t="s">
        <v>2</v>
      </c>
      <c r="C6" s="48"/>
      <c r="D6" s="47" t="s">
        <v>3</v>
      </c>
      <c r="E6" s="48"/>
      <c r="F6" s="49" t="s">
        <v>4</v>
      </c>
      <c r="G6" s="63"/>
      <c r="H6" s="63"/>
      <c r="I6" s="63"/>
      <c r="J6" s="50"/>
    </row>
    <row r="7" spans="1:10" ht="15.75" customHeight="1">
      <c r="A7" s="2" t="s">
        <v>5</v>
      </c>
      <c r="B7" s="43" t="s">
        <v>6</v>
      </c>
      <c r="C7" s="44"/>
      <c r="D7" s="51">
        <v>46093</v>
      </c>
      <c r="E7" s="52"/>
      <c r="F7" s="57" t="s">
        <v>54</v>
      </c>
      <c r="G7" s="58"/>
      <c r="H7" s="58"/>
      <c r="I7" s="58"/>
      <c r="J7" s="59"/>
    </row>
    <row r="8" spans="1:10" ht="18" customHeight="1">
      <c r="A8" s="2" t="s">
        <v>7</v>
      </c>
      <c r="B8" s="43" t="s">
        <v>8</v>
      </c>
      <c r="C8" s="44"/>
      <c r="D8" s="51">
        <v>46090.613888888889</v>
      </c>
      <c r="E8" s="52"/>
      <c r="F8" s="57" t="s">
        <v>59</v>
      </c>
      <c r="G8" s="58"/>
      <c r="H8" s="58"/>
      <c r="I8" s="58"/>
      <c r="J8" s="59"/>
    </row>
    <row r="9" spans="1:10" ht="18" customHeight="1">
      <c r="A9" s="2" t="s">
        <v>9</v>
      </c>
      <c r="B9" s="43" t="s">
        <v>10</v>
      </c>
      <c r="C9" s="44"/>
      <c r="D9" s="51">
        <v>46093.463194444441</v>
      </c>
      <c r="E9" s="52"/>
      <c r="F9" s="53" t="s">
        <v>49</v>
      </c>
      <c r="G9" s="54"/>
      <c r="H9" s="54"/>
      <c r="I9" s="54"/>
      <c r="J9" s="55"/>
    </row>
    <row r="10" spans="1:10" ht="15" customHeight="1">
      <c r="A10" s="56" t="s">
        <v>11</v>
      </c>
      <c r="B10" s="46"/>
      <c r="C10" s="46"/>
      <c r="D10" s="46"/>
      <c r="E10" s="46"/>
      <c r="F10" s="46"/>
      <c r="G10" s="46"/>
      <c r="H10" s="46"/>
      <c r="I10" s="46"/>
      <c r="J10" s="46"/>
    </row>
    <row r="11" spans="1:10" ht="15.95" customHeight="1">
      <c r="A11" s="1"/>
      <c r="B11" s="47" t="s">
        <v>2</v>
      </c>
      <c r="C11" s="48"/>
      <c r="D11" s="47" t="s">
        <v>12</v>
      </c>
      <c r="E11" s="48"/>
      <c r="F11" s="48"/>
      <c r="G11" s="48"/>
      <c r="H11" s="48"/>
      <c r="I11" s="48"/>
      <c r="J11" s="48"/>
    </row>
    <row r="12" spans="1:10" ht="18" customHeight="1">
      <c r="A12" s="2" t="s">
        <v>5</v>
      </c>
      <c r="B12" s="43" t="s">
        <v>6</v>
      </c>
      <c r="C12" s="44"/>
      <c r="D12" s="43" t="s">
        <v>55</v>
      </c>
      <c r="E12" s="44"/>
      <c r="F12" s="44"/>
      <c r="G12" s="44"/>
      <c r="H12" s="44"/>
      <c r="I12" s="44"/>
      <c r="J12" s="44"/>
    </row>
    <row r="13" spans="1:10" ht="18" customHeight="1">
      <c r="A13" s="2" t="s">
        <v>7</v>
      </c>
      <c r="B13" s="43" t="s">
        <v>8</v>
      </c>
      <c r="C13" s="44"/>
      <c r="D13" s="43" t="s">
        <v>58</v>
      </c>
      <c r="E13" s="44"/>
      <c r="F13" s="44"/>
      <c r="G13" s="44"/>
      <c r="H13" s="44"/>
      <c r="I13" s="44"/>
      <c r="J13" s="44"/>
    </row>
    <row r="14" spans="1:10" ht="18" customHeight="1">
      <c r="A14" s="2" t="s">
        <v>9</v>
      </c>
      <c r="B14" s="43" t="s">
        <v>10</v>
      </c>
      <c r="C14" s="44"/>
      <c r="D14" s="43" t="s">
        <v>50</v>
      </c>
      <c r="E14" s="44"/>
      <c r="F14" s="44"/>
      <c r="G14" s="44"/>
      <c r="H14" s="44"/>
      <c r="I14" s="44"/>
      <c r="J14" s="44"/>
    </row>
    <row r="16" spans="1:10" ht="18" customHeight="1">
      <c r="A16" s="45" t="s">
        <v>25</v>
      </c>
      <c r="B16" s="46"/>
      <c r="C16" s="46"/>
      <c r="D16" s="46"/>
      <c r="E16" s="46"/>
      <c r="F16" s="46"/>
      <c r="G16" s="46"/>
      <c r="H16" s="46"/>
      <c r="I16" s="46"/>
      <c r="J16" s="46"/>
    </row>
    <row r="17" spans="1:10" ht="15.95" customHeight="1">
      <c r="A17" s="1"/>
      <c r="B17" s="47" t="s">
        <v>13</v>
      </c>
      <c r="C17" s="48"/>
      <c r="D17" s="48"/>
      <c r="E17" s="1" t="s">
        <v>37</v>
      </c>
      <c r="F17" s="1" t="s">
        <v>38</v>
      </c>
      <c r="G17" s="1" t="s">
        <v>14</v>
      </c>
      <c r="H17" s="1" t="s">
        <v>20</v>
      </c>
      <c r="I17" s="49" t="s">
        <v>15</v>
      </c>
      <c r="J17" s="50"/>
    </row>
    <row r="18" spans="1:10" ht="18" customHeight="1">
      <c r="A18" s="2" t="s">
        <v>5</v>
      </c>
      <c r="B18" s="43" t="s">
        <v>6</v>
      </c>
      <c r="C18" s="44"/>
      <c r="D18" s="44"/>
      <c r="E18" s="2">
        <v>15</v>
      </c>
      <c r="F18" s="2">
        <f>6+5+15+7+2+4</f>
        <v>39</v>
      </c>
      <c r="G18" s="2">
        <f>E18+F18</f>
        <v>54</v>
      </c>
      <c r="H18" s="7" t="s">
        <v>21</v>
      </c>
      <c r="I18" s="24"/>
      <c r="J18" s="25"/>
    </row>
    <row r="19" spans="1:10" ht="18" customHeight="1">
      <c r="A19" s="2">
        <v>2</v>
      </c>
      <c r="B19" s="43" t="s">
        <v>10</v>
      </c>
      <c r="C19" s="44"/>
      <c r="D19" s="44"/>
      <c r="E19" s="2">
        <v>4</v>
      </c>
      <c r="F19" s="2">
        <v>20</v>
      </c>
      <c r="G19" s="2">
        <f>E19+F19</f>
        <v>24</v>
      </c>
      <c r="H19" s="7" t="s">
        <v>21</v>
      </c>
      <c r="I19" s="24"/>
      <c r="J19" s="25"/>
    </row>
    <row r="20" spans="1:10" ht="18" customHeight="1">
      <c r="A20" s="2">
        <v>3</v>
      </c>
      <c r="B20" s="43" t="s">
        <v>17</v>
      </c>
      <c r="C20" s="44"/>
      <c r="D20" s="44"/>
      <c r="E20" s="2">
        <v>2</v>
      </c>
      <c r="F20" s="2">
        <f>3+2+3</f>
        <v>8</v>
      </c>
      <c r="G20" s="2">
        <f>E20+F20</f>
        <v>10</v>
      </c>
      <c r="H20" s="7" t="s">
        <v>21</v>
      </c>
      <c r="I20" s="24"/>
      <c r="J20" s="25"/>
    </row>
    <row r="21" spans="1:10" ht="15.95" customHeight="1">
      <c r="A21" s="3"/>
      <c r="B21" s="26"/>
      <c r="C21" s="27"/>
      <c r="D21" s="28"/>
      <c r="E21" s="14"/>
      <c r="F21" s="2" t="s">
        <v>39</v>
      </c>
      <c r="G21" s="17">
        <f>SUM(G18:G20)</f>
        <v>88</v>
      </c>
      <c r="H21" s="15"/>
      <c r="I21" s="24"/>
      <c r="J21" s="25"/>
    </row>
    <row r="23" spans="1:10" ht="18" customHeight="1">
      <c r="A23" s="45" t="s">
        <v>33</v>
      </c>
      <c r="B23" s="46"/>
      <c r="C23" s="46"/>
      <c r="D23" s="46"/>
      <c r="E23" s="46"/>
      <c r="F23" s="46"/>
      <c r="G23" s="46"/>
      <c r="H23" s="46"/>
      <c r="I23" s="46"/>
      <c r="J23" s="46"/>
    </row>
    <row r="24" spans="1:10" ht="15.95" customHeight="1">
      <c r="A24" s="1"/>
      <c r="B24" s="47" t="s">
        <v>13</v>
      </c>
      <c r="C24" s="48"/>
      <c r="D24" s="48"/>
      <c r="E24" s="8" t="s">
        <v>30</v>
      </c>
      <c r="F24" s="1" t="s">
        <v>26</v>
      </c>
      <c r="G24" s="1" t="s">
        <v>28</v>
      </c>
      <c r="H24" s="1" t="s">
        <v>20</v>
      </c>
      <c r="I24" s="49"/>
      <c r="J24" s="50"/>
    </row>
    <row r="25" spans="1:10" ht="18" customHeight="1">
      <c r="A25" s="33">
        <v>1</v>
      </c>
      <c r="B25" s="34" t="s">
        <v>6</v>
      </c>
      <c r="C25" s="35"/>
      <c r="D25" s="36"/>
      <c r="E25" s="9" t="s">
        <v>60</v>
      </c>
      <c r="F25" s="2" t="s">
        <v>27</v>
      </c>
      <c r="G25" s="12">
        <v>3533700</v>
      </c>
      <c r="H25" s="7" t="s">
        <v>21</v>
      </c>
      <c r="I25" s="24"/>
      <c r="J25" s="25"/>
    </row>
    <row r="26" spans="1:10" ht="18" customHeight="1">
      <c r="A26" s="31"/>
      <c r="B26" s="40"/>
      <c r="C26" s="41"/>
      <c r="D26" s="42"/>
      <c r="E26" s="9" t="s">
        <v>61</v>
      </c>
      <c r="F26" s="2" t="s">
        <v>29</v>
      </c>
      <c r="G26" s="12">
        <v>8600</v>
      </c>
      <c r="H26" s="7" t="s">
        <v>21</v>
      </c>
      <c r="I26" s="24"/>
      <c r="J26" s="25"/>
    </row>
    <row r="27" spans="1:10" ht="18" customHeight="1">
      <c r="A27" s="31"/>
      <c r="B27" s="40"/>
      <c r="C27" s="41"/>
      <c r="D27" s="42"/>
      <c r="E27" s="9" t="s">
        <v>62</v>
      </c>
      <c r="F27" s="2" t="s">
        <v>27</v>
      </c>
      <c r="G27" s="12">
        <v>4424300</v>
      </c>
      <c r="H27" s="7" t="s">
        <v>21</v>
      </c>
      <c r="I27" s="24"/>
      <c r="J27" s="25"/>
    </row>
    <row r="28" spans="1:10" ht="18" customHeight="1">
      <c r="A28" s="31"/>
      <c r="B28" s="40"/>
      <c r="C28" s="41"/>
      <c r="D28" s="42"/>
      <c r="E28" s="9" t="s">
        <v>63</v>
      </c>
      <c r="F28" s="2" t="s">
        <v>27</v>
      </c>
      <c r="G28" s="12">
        <v>9600</v>
      </c>
      <c r="H28" s="7" t="s">
        <v>21</v>
      </c>
      <c r="I28" s="24"/>
      <c r="J28" s="25"/>
    </row>
    <row r="29" spans="1:10" ht="18" customHeight="1">
      <c r="A29" s="32"/>
      <c r="B29" s="37"/>
      <c r="C29" s="38"/>
      <c r="D29" s="39"/>
      <c r="E29" s="9" t="s">
        <v>64</v>
      </c>
      <c r="F29" s="2" t="s">
        <v>27</v>
      </c>
      <c r="G29" s="12">
        <v>1812900</v>
      </c>
      <c r="H29" s="7" t="s">
        <v>21</v>
      </c>
      <c r="I29" s="24"/>
      <c r="J29" s="25"/>
    </row>
    <row r="30" spans="1:10" ht="18" customHeight="1">
      <c r="A30" s="33">
        <v>2</v>
      </c>
      <c r="B30" s="34" t="s">
        <v>8</v>
      </c>
      <c r="C30" s="35"/>
      <c r="D30" s="36"/>
      <c r="E30" s="9" t="s">
        <v>56</v>
      </c>
      <c r="F30" s="2" t="s">
        <v>29</v>
      </c>
      <c r="G30" s="12">
        <v>12400</v>
      </c>
      <c r="H30" s="7" t="s">
        <v>21</v>
      </c>
      <c r="I30" s="24"/>
      <c r="J30" s="25"/>
    </row>
    <row r="31" spans="1:10" ht="18" customHeight="1">
      <c r="A31" s="32"/>
      <c r="B31" s="37"/>
      <c r="C31" s="38"/>
      <c r="D31" s="39"/>
      <c r="E31" s="9" t="s">
        <v>57</v>
      </c>
      <c r="F31" s="2" t="s">
        <v>27</v>
      </c>
      <c r="G31" s="12">
        <v>2277300</v>
      </c>
      <c r="H31" s="7" t="s">
        <v>21</v>
      </c>
      <c r="I31" s="24"/>
      <c r="J31" s="25"/>
    </row>
    <row r="32" spans="1:10" ht="18" customHeight="1">
      <c r="A32" s="33">
        <v>3</v>
      </c>
      <c r="B32" s="34" t="s">
        <v>10</v>
      </c>
      <c r="C32" s="35"/>
      <c r="D32" s="36"/>
      <c r="E32" s="9" t="s">
        <v>52</v>
      </c>
      <c r="F32" s="2" t="s">
        <v>27</v>
      </c>
      <c r="G32" s="12">
        <v>14820500</v>
      </c>
      <c r="H32" s="7" t="s">
        <v>21</v>
      </c>
      <c r="I32" s="24"/>
      <c r="J32" s="25"/>
    </row>
    <row r="33" spans="1:10" ht="18" customHeight="1">
      <c r="A33" s="31"/>
      <c r="B33" s="40"/>
      <c r="C33" s="41"/>
      <c r="D33" s="42"/>
      <c r="E33" s="9" t="s">
        <v>53</v>
      </c>
      <c r="F33" s="2" t="s">
        <v>27</v>
      </c>
      <c r="G33" s="12">
        <v>6561600</v>
      </c>
      <c r="H33" s="7" t="s">
        <v>21</v>
      </c>
      <c r="I33" s="24"/>
      <c r="J33" s="25"/>
    </row>
    <row r="34" spans="1:10" ht="18" customHeight="1">
      <c r="A34" s="18" t="s">
        <v>16</v>
      </c>
      <c r="B34" s="21" t="s">
        <v>17</v>
      </c>
      <c r="C34" s="22"/>
      <c r="D34" s="23"/>
      <c r="E34" s="9" t="s">
        <v>65</v>
      </c>
      <c r="F34" s="2" t="s">
        <v>27</v>
      </c>
      <c r="G34" s="12">
        <v>5257100</v>
      </c>
      <c r="H34" s="7" t="s">
        <v>21</v>
      </c>
      <c r="I34" s="24"/>
      <c r="J34" s="25"/>
    </row>
    <row r="35" spans="1:10" ht="15.95" customHeight="1">
      <c r="A35" s="3"/>
      <c r="B35" s="26"/>
      <c r="C35" s="27"/>
      <c r="D35" s="28"/>
      <c r="E35" s="14"/>
      <c r="F35" s="2" t="s">
        <v>39</v>
      </c>
      <c r="G35" s="16">
        <f>SUM(G25:G34)</f>
        <v>38718000</v>
      </c>
      <c r="H35" s="15"/>
      <c r="I35" s="24"/>
      <c r="J35" s="25"/>
    </row>
    <row r="36" spans="1:10" ht="15.95" customHeight="1">
      <c r="E36" s="10"/>
      <c r="F36" s="4"/>
      <c r="G36" s="13"/>
      <c r="H36" s="5"/>
      <c r="I36" s="5"/>
      <c r="J36" s="5"/>
    </row>
    <row r="37" spans="1:10" ht="15.95" customHeight="1">
      <c r="E37" s="11"/>
      <c r="F37" s="4"/>
      <c r="G37" s="4"/>
      <c r="H37" s="4"/>
      <c r="I37" s="2" t="s">
        <v>47</v>
      </c>
      <c r="J37" s="2" t="s">
        <v>18</v>
      </c>
    </row>
    <row r="38" spans="1:10" ht="45" customHeight="1">
      <c r="E38" s="11"/>
      <c r="F38" s="4"/>
      <c r="G38" s="4"/>
      <c r="H38" s="4"/>
      <c r="I38" s="2"/>
      <c r="J38" s="2"/>
    </row>
    <row r="40" spans="1:10">
      <c r="A40" s="29" t="s">
        <v>48</v>
      </c>
      <c r="B40" s="30"/>
      <c r="C40" s="30"/>
      <c r="D40" s="30"/>
      <c r="E40" s="30"/>
      <c r="F40" s="30"/>
      <c r="G40" s="30"/>
      <c r="H40" s="30"/>
      <c r="I40" s="30"/>
      <c r="J40" s="30"/>
    </row>
  </sheetData>
  <mergeCells count="58">
    <mergeCell ref="A40:J40"/>
    <mergeCell ref="B30:D31"/>
    <mergeCell ref="A30:A31"/>
    <mergeCell ref="I31:J31"/>
    <mergeCell ref="A25:A29"/>
    <mergeCell ref="B25:D29"/>
    <mergeCell ref="I29:J29"/>
    <mergeCell ref="B34:D34"/>
    <mergeCell ref="I34:J34"/>
    <mergeCell ref="B35:D35"/>
    <mergeCell ref="I35:J35"/>
    <mergeCell ref="I30:J30"/>
    <mergeCell ref="A32:A33"/>
    <mergeCell ref="B32:D33"/>
    <mergeCell ref="I32:J32"/>
    <mergeCell ref="I33:J33"/>
    <mergeCell ref="I25:J25"/>
    <mergeCell ref="I26:J26"/>
    <mergeCell ref="I27:J27"/>
    <mergeCell ref="I28:J28"/>
    <mergeCell ref="B20:D20"/>
    <mergeCell ref="I20:J20"/>
    <mergeCell ref="B21:D21"/>
    <mergeCell ref="I21:J21"/>
    <mergeCell ref="A23:J23"/>
    <mergeCell ref="B24:D24"/>
    <mergeCell ref="I24:J24"/>
    <mergeCell ref="B19:D19"/>
    <mergeCell ref="I19:J19"/>
    <mergeCell ref="B12:C12"/>
    <mergeCell ref="D12:J12"/>
    <mergeCell ref="B13:C13"/>
    <mergeCell ref="D13:J13"/>
    <mergeCell ref="B14:C14"/>
    <mergeCell ref="D14:J14"/>
    <mergeCell ref="A16:J16"/>
    <mergeCell ref="B17:D17"/>
    <mergeCell ref="I17:J17"/>
    <mergeCell ref="B18:D18"/>
    <mergeCell ref="I18:J18"/>
    <mergeCell ref="B9:C9"/>
    <mergeCell ref="D9:E9"/>
    <mergeCell ref="F9:J9"/>
    <mergeCell ref="A10:J10"/>
    <mergeCell ref="B11:C11"/>
    <mergeCell ref="D11:J11"/>
    <mergeCell ref="B7:C7"/>
    <mergeCell ref="D7:E7"/>
    <mergeCell ref="F7:J7"/>
    <mergeCell ref="B8:C8"/>
    <mergeCell ref="D8:E8"/>
    <mergeCell ref="F8:J8"/>
    <mergeCell ref="A2:J2"/>
    <mergeCell ref="G3:J3"/>
    <mergeCell ref="A5:J5"/>
    <mergeCell ref="B6:C6"/>
    <mergeCell ref="D6:E6"/>
    <mergeCell ref="F6:J6"/>
  </mergeCells>
  <phoneticPr fontId="6"/>
  <pageMargins left="0.5" right="0.5" top="0.4" bottom="0.4" header="0.5" footer="0.5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37E6-0FB8-4795-8086-EF9288684F4A}">
  <sheetPr>
    <pageSetUpPr fitToPage="1"/>
  </sheetPr>
  <dimension ref="A2:J42"/>
  <sheetViews>
    <sheetView tabSelected="1" view="pageBreakPreview" zoomScaleNormal="100" zoomScaleSheetLayoutView="100" workbookViewId="0">
      <selection activeCell="I28" sqref="I28"/>
    </sheetView>
  </sheetViews>
  <sheetFormatPr defaultRowHeight="13.5"/>
  <cols>
    <col min="1" max="1" width="3.5" customWidth="1"/>
    <col min="2" max="2" width="14" customWidth="1"/>
    <col min="3" max="3" width="9.5" customWidth="1"/>
    <col min="4" max="4" width="7.625" customWidth="1"/>
    <col min="5" max="5" width="13.875" bestFit="1" customWidth="1"/>
    <col min="6" max="6" width="16.25" customWidth="1"/>
    <col min="7" max="7" width="11.875" customWidth="1"/>
    <col min="8" max="8" width="7.75" bestFit="1" customWidth="1"/>
    <col min="9" max="10" width="10.625" customWidth="1"/>
  </cols>
  <sheetData>
    <row r="2" spans="1:10" ht="27.95" customHeight="1">
      <c r="A2" s="60" t="s">
        <v>51</v>
      </c>
      <c r="B2" s="61"/>
      <c r="C2" s="61"/>
      <c r="D2" s="61"/>
      <c r="E2" s="61"/>
      <c r="F2" s="61"/>
      <c r="G2" s="61"/>
      <c r="H2" s="61"/>
      <c r="I2" s="61"/>
      <c r="J2" s="61"/>
    </row>
    <row r="3" spans="1:10">
      <c r="G3" s="62">
        <f ca="1">TODAY()</f>
        <v>46139</v>
      </c>
      <c r="H3" s="62"/>
      <c r="I3" s="62"/>
      <c r="J3" s="62"/>
    </row>
    <row r="4" spans="1:10">
      <c r="G4" s="6"/>
      <c r="H4" s="6"/>
      <c r="I4" s="6"/>
      <c r="J4" s="6"/>
    </row>
    <row r="5" spans="1:10" ht="18" customHeight="1">
      <c r="A5" s="45" t="s">
        <v>1</v>
      </c>
      <c r="B5" s="46"/>
      <c r="C5" s="46"/>
      <c r="D5" s="46"/>
      <c r="E5" s="46"/>
      <c r="F5" s="46"/>
      <c r="G5" s="46"/>
      <c r="H5" s="46"/>
      <c r="I5" s="46"/>
      <c r="J5" s="46"/>
    </row>
    <row r="6" spans="1:10" ht="15.95" customHeight="1">
      <c r="A6" s="1"/>
      <c r="B6" s="47" t="s">
        <v>2</v>
      </c>
      <c r="C6" s="48"/>
      <c r="D6" s="47" t="s">
        <v>3</v>
      </c>
      <c r="E6" s="48"/>
      <c r="F6" s="49" t="s">
        <v>4</v>
      </c>
      <c r="G6" s="63"/>
      <c r="H6" s="63"/>
      <c r="I6" s="63"/>
      <c r="J6" s="50"/>
    </row>
    <row r="7" spans="1:10" ht="15.75" customHeight="1">
      <c r="A7" s="2" t="s">
        <v>5</v>
      </c>
      <c r="B7" s="43" t="s">
        <v>6</v>
      </c>
      <c r="C7" s="44"/>
      <c r="D7" s="51">
        <v>46125</v>
      </c>
      <c r="E7" s="52"/>
      <c r="F7" s="57" t="s">
        <v>54</v>
      </c>
      <c r="G7" s="58"/>
      <c r="H7" s="58"/>
      <c r="I7" s="58"/>
      <c r="J7" s="59"/>
    </row>
    <row r="8" spans="1:10" ht="18" customHeight="1">
      <c r="A8" s="2" t="s">
        <v>7</v>
      </c>
      <c r="B8" s="43" t="s">
        <v>8</v>
      </c>
      <c r="C8" s="44"/>
      <c r="D8" s="51">
        <v>46120.736111111109</v>
      </c>
      <c r="E8" s="52"/>
      <c r="F8" s="57" t="s">
        <v>79</v>
      </c>
      <c r="G8" s="58"/>
      <c r="H8" s="58"/>
      <c r="I8" s="58"/>
      <c r="J8" s="59"/>
    </row>
    <row r="9" spans="1:10" ht="18" customHeight="1">
      <c r="A9" s="2" t="s">
        <v>9</v>
      </c>
      <c r="B9" s="43" t="s">
        <v>10</v>
      </c>
      <c r="C9" s="44"/>
      <c r="D9" s="51">
        <v>46129.359027777777</v>
      </c>
      <c r="E9" s="52"/>
      <c r="F9" s="53" t="s">
        <v>77</v>
      </c>
      <c r="G9" s="54"/>
      <c r="H9" s="54"/>
      <c r="I9" s="54"/>
      <c r="J9" s="55"/>
    </row>
    <row r="10" spans="1:10" ht="15" customHeight="1">
      <c r="A10" s="56" t="s">
        <v>11</v>
      </c>
      <c r="B10" s="46"/>
      <c r="C10" s="46"/>
      <c r="D10" s="46"/>
      <c r="E10" s="46"/>
      <c r="F10" s="46"/>
      <c r="G10" s="46"/>
      <c r="H10" s="46"/>
      <c r="I10" s="46"/>
      <c r="J10" s="46"/>
    </row>
    <row r="11" spans="1:10" ht="15.95" customHeight="1">
      <c r="A11" s="1"/>
      <c r="B11" s="47" t="s">
        <v>2</v>
      </c>
      <c r="C11" s="48"/>
      <c r="D11" s="47" t="s">
        <v>12</v>
      </c>
      <c r="E11" s="48"/>
      <c r="F11" s="48"/>
      <c r="G11" s="48"/>
      <c r="H11" s="48"/>
      <c r="I11" s="48"/>
      <c r="J11" s="48"/>
    </row>
    <row r="12" spans="1:10" ht="18" customHeight="1">
      <c r="A12" s="2" t="s">
        <v>5</v>
      </c>
      <c r="B12" s="43" t="s">
        <v>6</v>
      </c>
      <c r="C12" s="44"/>
      <c r="D12" s="43" t="s">
        <v>66</v>
      </c>
      <c r="E12" s="44"/>
      <c r="F12" s="44"/>
      <c r="G12" s="44"/>
      <c r="H12" s="44"/>
      <c r="I12" s="44"/>
      <c r="J12" s="44"/>
    </row>
    <row r="13" spans="1:10" ht="18" customHeight="1">
      <c r="A13" s="2" t="s">
        <v>7</v>
      </c>
      <c r="B13" s="43" t="s">
        <v>8</v>
      </c>
      <c r="C13" s="44"/>
      <c r="D13" s="43" t="s">
        <v>80</v>
      </c>
      <c r="E13" s="44"/>
      <c r="F13" s="44"/>
      <c r="G13" s="44"/>
      <c r="H13" s="44"/>
      <c r="I13" s="44"/>
      <c r="J13" s="44"/>
    </row>
    <row r="14" spans="1:10" ht="18" customHeight="1">
      <c r="A14" s="2" t="s">
        <v>9</v>
      </c>
      <c r="B14" s="43" t="s">
        <v>10</v>
      </c>
      <c r="C14" s="44"/>
      <c r="D14" s="43" t="s">
        <v>78</v>
      </c>
      <c r="E14" s="44"/>
      <c r="F14" s="44"/>
      <c r="G14" s="44"/>
      <c r="H14" s="44"/>
      <c r="I14" s="44"/>
      <c r="J14" s="44"/>
    </row>
    <row r="16" spans="1:10" ht="18" customHeight="1">
      <c r="A16" s="45" t="s">
        <v>25</v>
      </c>
      <c r="B16" s="46"/>
      <c r="C16" s="46"/>
      <c r="D16" s="46"/>
      <c r="E16" s="46"/>
      <c r="F16" s="46"/>
      <c r="G16" s="46"/>
      <c r="H16" s="46"/>
      <c r="I16" s="46"/>
      <c r="J16" s="46"/>
    </row>
    <row r="17" spans="1:10" ht="15.95" customHeight="1">
      <c r="A17" s="1"/>
      <c r="B17" s="47" t="s">
        <v>13</v>
      </c>
      <c r="C17" s="48"/>
      <c r="D17" s="48"/>
      <c r="E17" s="1" t="s">
        <v>37</v>
      </c>
      <c r="F17" s="1" t="s">
        <v>38</v>
      </c>
      <c r="G17" s="1" t="s">
        <v>14</v>
      </c>
      <c r="H17" s="1" t="s">
        <v>20</v>
      </c>
      <c r="I17" s="49" t="s">
        <v>15</v>
      </c>
      <c r="J17" s="50"/>
    </row>
    <row r="18" spans="1:10" ht="18" customHeight="1">
      <c r="A18" s="2" t="s">
        <v>5</v>
      </c>
      <c r="B18" s="43" t="s">
        <v>6</v>
      </c>
      <c r="C18" s="44"/>
      <c r="D18" s="44"/>
      <c r="E18" s="2">
        <v>15</v>
      </c>
      <c r="F18" s="2">
        <f>6+5+15+7+2+4</f>
        <v>39</v>
      </c>
      <c r="G18" s="2">
        <f>E18+F18</f>
        <v>54</v>
      </c>
      <c r="H18" s="7" t="s">
        <v>21</v>
      </c>
      <c r="I18" s="24"/>
      <c r="J18" s="25"/>
    </row>
    <row r="19" spans="1:10" ht="18" customHeight="1">
      <c r="A19" s="2">
        <v>2</v>
      </c>
      <c r="B19" s="43" t="s">
        <v>10</v>
      </c>
      <c r="C19" s="44"/>
      <c r="D19" s="44"/>
      <c r="E19" s="2">
        <v>6</v>
      </c>
      <c r="F19" s="2">
        <v>28</v>
      </c>
      <c r="G19" s="2">
        <f>E19+F19</f>
        <v>34</v>
      </c>
      <c r="H19" s="7" t="s">
        <v>21</v>
      </c>
      <c r="I19" s="24"/>
      <c r="J19" s="25"/>
    </row>
    <row r="20" spans="1:10" ht="18" customHeight="1">
      <c r="A20" s="2">
        <v>3</v>
      </c>
      <c r="B20" s="43" t="s">
        <v>17</v>
      </c>
      <c r="C20" s="44"/>
      <c r="D20" s="44"/>
      <c r="E20" s="2">
        <v>4</v>
      </c>
      <c r="F20" s="2">
        <v>2</v>
      </c>
      <c r="G20" s="2">
        <f>E20+F20</f>
        <v>6</v>
      </c>
      <c r="H20" s="7" t="s">
        <v>21</v>
      </c>
      <c r="I20" s="24"/>
      <c r="J20" s="25"/>
    </row>
    <row r="21" spans="1:10" ht="15.95" customHeight="1">
      <c r="A21" s="3"/>
      <c r="B21" s="26"/>
      <c r="C21" s="27"/>
      <c r="D21" s="28"/>
      <c r="E21" s="14"/>
      <c r="F21" s="2" t="s">
        <v>39</v>
      </c>
      <c r="G21" s="17">
        <f>SUM(G18:G20)</f>
        <v>94</v>
      </c>
      <c r="H21" s="15"/>
      <c r="I21" s="24"/>
      <c r="J21" s="25"/>
    </row>
    <row r="23" spans="1:10" ht="18" customHeight="1">
      <c r="A23" s="45" t="s">
        <v>33</v>
      </c>
      <c r="B23" s="46"/>
      <c r="C23" s="46"/>
      <c r="D23" s="46"/>
      <c r="E23" s="46"/>
      <c r="F23" s="46"/>
      <c r="G23" s="46"/>
      <c r="H23" s="46"/>
      <c r="I23" s="46"/>
      <c r="J23" s="46"/>
    </row>
    <row r="24" spans="1:10" ht="15.95" customHeight="1">
      <c r="A24" s="1"/>
      <c r="B24" s="47" t="s">
        <v>13</v>
      </c>
      <c r="C24" s="48"/>
      <c r="D24" s="48"/>
      <c r="E24" s="8" t="s">
        <v>30</v>
      </c>
      <c r="F24" s="1" t="s">
        <v>26</v>
      </c>
      <c r="G24" s="1" t="s">
        <v>28</v>
      </c>
      <c r="H24" s="1" t="s">
        <v>20</v>
      </c>
      <c r="I24" s="49"/>
      <c r="J24" s="50"/>
    </row>
    <row r="25" spans="1:10" ht="18" customHeight="1">
      <c r="A25" s="31">
        <v>1</v>
      </c>
      <c r="B25" s="67" t="s">
        <v>84</v>
      </c>
      <c r="C25" s="68"/>
      <c r="D25" s="69"/>
      <c r="E25" s="9" t="s">
        <v>69</v>
      </c>
      <c r="F25" s="2" t="s">
        <v>72</v>
      </c>
      <c r="G25" s="12">
        <v>200</v>
      </c>
      <c r="H25" s="7" t="s">
        <v>73</v>
      </c>
      <c r="I25" s="24"/>
      <c r="J25" s="25"/>
    </row>
    <row r="26" spans="1:10" ht="18" customHeight="1">
      <c r="A26" s="31"/>
      <c r="B26" s="67"/>
      <c r="C26" s="68"/>
      <c r="D26" s="69"/>
      <c r="E26" s="9" t="s">
        <v>70</v>
      </c>
      <c r="F26" s="2" t="s">
        <v>74</v>
      </c>
      <c r="G26" s="12">
        <v>4057100</v>
      </c>
      <c r="H26" s="7" t="s">
        <v>73</v>
      </c>
      <c r="I26" s="24"/>
      <c r="J26" s="25"/>
    </row>
    <row r="27" spans="1:10" ht="18" customHeight="1">
      <c r="A27" s="31"/>
      <c r="B27" s="67"/>
      <c r="C27" s="68"/>
      <c r="D27" s="69"/>
      <c r="E27" s="9" t="s">
        <v>71</v>
      </c>
      <c r="F27" s="2" t="s">
        <v>72</v>
      </c>
      <c r="G27" s="12">
        <v>15500</v>
      </c>
      <c r="H27" s="7" t="s">
        <v>73</v>
      </c>
      <c r="I27" s="24"/>
      <c r="J27" s="25"/>
    </row>
    <row r="28" spans="1:10" ht="18" customHeight="1">
      <c r="A28" s="31"/>
      <c r="B28" s="67"/>
      <c r="C28" s="68"/>
      <c r="D28" s="69"/>
      <c r="E28" s="9" t="s">
        <v>75</v>
      </c>
      <c r="F28" s="2" t="s">
        <v>74</v>
      </c>
      <c r="G28" s="12">
        <v>4668900</v>
      </c>
      <c r="H28" s="7" t="s">
        <v>73</v>
      </c>
      <c r="I28" s="19"/>
      <c r="J28" s="20"/>
    </row>
    <row r="29" spans="1:10" ht="18" customHeight="1">
      <c r="A29" s="32"/>
      <c r="B29" s="64"/>
      <c r="C29" s="65"/>
      <c r="D29" s="66"/>
      <c r="E29" s="9" t="s">
        <v>76</v>
      </c>
      <c r="F29" s="2" t="s">
        <v>74</v>
      </c>
      <c r="G29" s="12">
        <v>946100</v>
      </c>
      <c r="H29" s="7" t="s">
        <v>73</v>
      </c>
      <c r="I29" s="19"/>
      <c r="J29" s="20"/>
    </row>
    <row r="30" spans="1:10" ht="18" customHeight="1">
      <c r="A30" s="33">
        <v>2</v>
      </c>
      <c r="B30" s="34" t="s">
        <v>8</v>
      </c>
      <c r="C30" s="35"/>
      <c r="D30" s="36"/>
      <c r="E30" s="9" t="s">
        <v>67</v>
      </c>
      <c r="F30" s="2" t="s">
        <v>72</v>
      </c>
      <c r="G30" s="12">
        <v>300</v>
      </c>
      <c r="H30" s="7" t="s">
        <v>21</v>
      </c>
      <c r="I30" s="24"/>
      <c r="J30" s="25"/>
    </row>
    <row r="31" spans="1:10" ht="18" customHeight="1">
      <c r="A31" s="32"/>
      <c r="B31" s="37"/>
      <c r="C31" s="38"/>
      <c r="D31" s="39"/>
      <c r="E31" s="9" t="s">
        <v>68</v>
      </c>
      <c r="F31" s="2" t="s">
        <v>74</v>
      </c>
      <c r="G31" s="12">
        <v>1859800</v>
      </c>
      <c r="H31" s="7" t="s">
        <v>21</v>
      </c>
      <c r="I31" s="24"/>
      <c r="J31" s="25"/>
    </row>
    <row r="32" spans="1:10" ht="18" customHeight="1">
      <c r="A32" s="33">
        <v>3</v>
      </c>
      <c r="B32" s="21" t="s">
        <v>10</v>
      </c>
      <c r="C32" s="22"/>
      <c r="D32" s="23"/>
      <c r="E32" s="9" t="s">
        <v>81</v>
      </c>
      <c r="F32" s="2" t="s">
        <v>74</v>
      </c>
      <c r="G32" s="12">
        <v>168822400</v>
      </c>
      <c r="H32" s="7" t="s">
        <v>21</v>
      </c>
      <c r="I32" s="24"/>
      <c r="J32" s="25"/>
    </row>
    <row r="33" spans="1:10" ht="18" customHeight="1">
      <c r="A33" s="31"/>
      <c r="B33" s="67"/>
      <c r="C33" s="70"/>
      <c r="D33" s="69"/>
      <c r="E33" s="9" t="s">
        <v>82</v>
      </c>
      <c r="F33" s="2" t="s">
        <v>74</v>
      </c>
      <c r="G33" s="12">
        <v>5065300</v>
      </c>
      <c r="H33" s="7" t="s">
        <v>21</v>
      </c>
      <c r="I33" s="24"/>
      <c r="J33" s="25"/>
    </row>
    <row r="34" spans="1:10" ht="18" customHeight="1">
      <c r="A34" s="32"/>
      <c r="B34" s="64"/>
      <c r="C34" s="65"/>
      <c r="D34" s="66"/>
      <c r="E34" s="9" t="s">
        <v>83</v>
      </c>
      <c r="F34" s="2" t="s">
        <v>74</v>
      </c>
      <c r="G34" s="12">
        <v>1267300</v>
      </c>
      <c r="H34" s="7" t="s">
        <v>21</v>
      </c>
      <c r="I34" s="19"/>
      <c r="J34" s="20"/>
    </row>
    <row r="35" spans="1:10" ht="18" customHeight="1">
      <c r="A35" s="33" t="s">
        <v>16</v>
      </c>
      <c r="B35" s="34" t="s">
        <v>17</v>
      </c>
      <c r="C35" s="35"/>
      <c r="D35" s="36"/>
      <c r="E35" s="9" t="s">
        <v>85</v>
      </c>
      <c r="F35" s="2" t="s">
        <v>72</v>
      </c>
      <c r="G35" s="12">
        <v>1200</v>
      </c>
      <c r="H35" s="7" t="s">
        <v>21</v>
      </c>
      <c r="I35" s="24"/>
      <c r="J35" s="25"/>
    </row>
    <row r="36" spans="1:10" ht="18" customHeight="1">
      <c r="A36" s="32"/>
      <c r="B36" s="37"/>
      <c r="C36" s="38"/>
      <c r="D36" s="39"/>
      <c r="E36" s="9" t="s">
        <v>86</v>
      </c>
      <c r="F36" s="2" t="s">
        <v>74</v>
      </c>
      <c r="G36" s="12">
        <v>2064300</v>
      </c>
      <c r="H36" s="7" t="s">
        <v>21</v>
      </c>
      <c r="I36" s="19"/>
      <c r="J36" s="20"/>
    </row>
    <row r="37" spans="1:10" ht="15.95" customHeight="1">
      <c r="A37" s="3"/>
      <c r="B37" s="26"/>
      <c r="C37" s="27"/>
      <c r="D37" s="28"/>
      <c r="E37" s="14"/>
      <c r="F37" s="2" t="s">
        <v>39</v>
      </c>
      <c r="G37" s="16">
        <f>SUM(G25:G36)</f>
        <v>188768400</v>
      </c>
      <c r="H37" s="15"/>
      <c r="I37" s="24"/>
      <c r="J37" s="25"/>
    </row>
    <row r="38" spans="1:10" ht="15.95" customHeight="1">
      <c r="E38" s="10"/>
      <c r="F38" s="4"/>
      <c r="G38" s="13"/>
      <c r="H38" s="5"/>
      <c r="I38" s="5"/>
      <c r="J38" s="5"/>
    </row>
    <row r="39" spans="1:10" ht="15.95" customHeight="1">
      <c r="E39" s="11"/>
      <c r="F39" s="4"/>
      <c r="G39" s="4"/>
      <c r="H39" s="4"/>
      <c r="I39" s="2" t="s">
        <v>47</v>
      </c>
      <c r="J39" s="2" t="s">
        <v>18</v>
      </c>
    </row>
    <row r="40" spans="1:10" ht="45" customHeight="1">
      <c r="E40" s="11"/>
      <c r="F40" s="4"/>
      <c r="G40" s="4"/>
      <c r="H40" s="4"/>
      <c r="I40" s="2"/>
      <c r="J40" s="2"/>
    </row>
    <row r="42" spans="1:10">
      <c r="A42" s="29" t="s">
        <v>48</v>
      </c>
      <c r="B42" s="30"/>
      <c r="C42" s="30"/>
      <c r="D42" s="30"/>
      <c r="E42" s="30"/>
      <c r="F42" s="30"/>
      <c r="G42" s="30"/>
      <c r="H42" s="30"/>
      <c r="I42" s="30"/>
      <c r="J42" s="30"/>
    </row>
  </sheetData>
  <mergeCells count="57">
    <mergeCell ref="A2:J2"/>
    <mergeCell ref="G3:J3"/>
    <mergeCell ref="A5:J5"/>
    <mergeCell ref="B6:C6"/>
    <mergeCell ref="D6:E6"/>
    <mergeCell ref="F6:J6"/>
    <mergeCell ref="B7:C7"/>
    <mergeCell ref="D7:E7"/>
    <mergeCell ref="F7:J7"/>
    <mergeCell ref="B8:C8"/>
    <mergeCell ref="D8:E8"/>
    <mergeCell ref="F8:J8"/>
    <mergeCell ref="B9:C9"/>
    <mergeCell ref="D9:E9"/>
    <mergeCell ref="F9:J9"/>
    <mergeCell ref="A10:J10"/>
    <mergeCell ref="B11:C11"/>
    <mergeCell ref="D11:J11"/>
    <mergeCell ref="B12:C12"/>
    <mergeCell ref="D12:J12"/>
    <mergeCell ref="B13:C13"/>
    <mergeCell ref="D13:J13"/>
    <mergeCell ref="B14:C14"/>
    <mergeCell ref="D14:J14"/>
    <mergeCell ref="B24:D24"/>
    <mergeCell ref="I24:J24"/>
    <mergeCell ref="A16:J16"/>
    <mergeCell ref="B17:D17"/>
    <mergeCell ref="I17:J17"/>
    <mergeCell ref="B18:D18"/>
    <mergeCell ref="I18:J18"/>
    <mergeCell ref="B19:D19"/>
    <mergeCell ref="I19:J19"/>
    <mergeCell ref="B20:D20"/>
    <mergeCell ref="I20:J20"/>
    <mergeCell ref="B21:D21"/>
    <mergeCell ref="I21:J21"/>
    <mergeCell ref="A23:J23"/>
    <mergeCell ref="I32:J32"/>
    <mergeCell ref="I33:J33"/>
    <mergeCell ref="I25:J25"/>
    <mergeCell ref="I26:J26"/>
    <mergeCell ref="I27:J27"/>
    <mergeCell ref="B32:D34"/>
    <mergeCell ref="A32:A34"/>
    <mergeCell ref="A25:A29"/>
    <mergeCell ref="B25:D29"/>
    <mergeCell ref="A30:A31"/>
    <mergeCell ref="B30:D31"/>
    <mergeCell ref="I30:J30"/>
    <mergeCell ref="I31:J31"/>
    <mergeCell ref="I35:J35"/>
    <mergeCell ref="B37:D37"/>
    <mergeCell ref="I37:J37"/>
    <mergeCell ref="A42:J42"/>
    <mergeCell ref="B35:D36"/>
    <mergeCell ref="A35:A36"/>
  </mergeCells>
  <phoneticPr fontId="6"/>
  <pageMargins left="0.5" right="0.5" top="0.4" bottom="0.4" header="0.5" footer="0.5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チェックリスト</vt:lpstr>
      <vt:lpstr>2602</vt:lpstr>
      <vt:lpstr>2603</vt:lpstr>
      <vt:lpstr>2604</vt:lpstr>
      <vt:lpstr>'2602'!Print_Area</vt:lpstr>
      <vt:lpstr>'2603'!Print_Area</vt:lpstr>
      <vt:lpstr>'2604'!Print_Area</vt:lpstr>
      <vt:lpstr>チェックリスト!Print_Area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01429_yamamoto</cp:lastModifiedBy>
  <cp:lastPrinted>2026-04-27T04:48:09Z</cp:lastPrinted>
  <dcterms:created xsi:type="dcterms:W3CDTF">2026-02-18T04:34:27Z</dcterms:created>
  <dcterms:modified xsi:type="dcterms:W3CDTF">2026-04-27T04:48:18Z</dcterms:modified>
</cp:coreProperties>
</file>